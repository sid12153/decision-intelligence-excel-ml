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iddharth\Desktop\Portfolio_Projects\BI_Decision_Intel_Excel\excel\"/>
    </mc:Choice>
  </mc:AlternateContent>
  <xr:revisionPtr revIDLastSave="0" documentId="13_ncr:1_{E0D7B794-7E74-44C1-BAEC-D4900CCCA83F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kpis_monthly_country" sheetId="3" r:id="rId1"/>
    <sheet name="kpis_monthly" sheetId="2" r:id="rId2"/>
    <sheet name="Pivots" sheetId="4" r:id="rId3"/>
    <sheet name="Helper" sheetId="5" r:id="rId4"/>
    <sheet name="Calc_Checks" sheetId="1" r:id="rId5"/>
    <sheet name="Dashboard" sheetId="6" r:id="rId6"/>
    <sheet name="Sheet5" sheetId="7" r:id="rId7"/>
  </sheets>
  <definedNames>
    <definedName name="ExternalData_1" localSheetId="1" hidden="1">kpis_monthly!$A$1:$I$26</definedName>
    <definedName name="ExternalData_2" localSheetId="0" hidden="1">kpis_monthly_country!$A$1:$H$547</definedName>
    <definedName name="MonthList">_xlfn.ANCHORARRAY(Helper!$A$1)</definedName>
  </definedNames>
  <calcPr calcId="191029"/>
  <pivotCaches>
    <pivotCache cacheId="20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7" l="1"/>
  <c r="I6" i="7"/>
  <c r="E6" i="7"/>
  <c r="A6" i="7"/>
  <c r="C3" i="7"/>
  <c r="B3" i="6"/>
  <c r="H6" i="6" s="1"/>
  <c r="B31" i="1"/>
  <c r="B30" i="1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A1" i="5" a="1"/>
  <c r="A1" i="5" s="1"/>
  <c r="A2" i="1"/>
  <c r="C2" i="1" s="1"/>
  <c r="E11" i="1"/>
  <c r="A3" i="1"/>
  <c r="E3" i="1" s="1"/>
  <c r="A4" i="1"/>
  <c r="C4" i="1" s="1"/>
  <c r="A5" i="1"/>
  <c r="B5" i="1" s="1"/>
  <c r="A6" i="1"/>
  <c r="C6" i="1" s="1"/>
  <c r="A7" i="1"/>
  <c r="B7" i="1" s="1"/>
  <c r="A8" i="1"/>
  <c r="E8" i="1" s="1"/>
  <c r="A9" i="1"/>
  <c r="E9" i="1" s="1"/>
  <c r="A10" i="1"/>
  <c r="C10" i="1" s="1"/>
  <c r="A11" i="1"/>
  <c r="C11" i="1" s="1"/>
  <c r="A12" i="1"/>
  <c r="E12" i="1" s="1"/>
  <c r="A13" i="1"/>
  <c r="E13" i="1" s="1"/>
  <c r="A14" i="1"/>
  <c r="E14" i="1" s="1"/>
  <c r="A15" i="1"/>
  <c r="E15" i="1" s="1"/>
  <c r="A16" i="1"/>
  <c r="C16" i="1" s="1"/>
  <c r="A17" i="1"/>
  <c r="B17" i="1" s="1"/>
  <c r="A18" i="1"/>
  <c r="C18" i="1" s="1"/>
  <c r="A19" i="1"/>
  <c r="B19" i="1" s="1"/>
  <c r="A20" i="1"/>
  <c r="E20" i="1" s="1"/>
  <c r="A21" i="1"/>
  <c r="E21" i="1" s="1"/>
  <c r="A22" i="1"/>
  <c r="B22" i="1" s="1"/>
  <c r="A23" i="1"/>
  <c r="E23" i="1" s="1"/>
  <c r="A24" i="1"/>
  <c r="E24" i="1" s="1"/>
  <c r="A25" i="1"/>
  <c r="E25" i="1" s="1"/>
  <c r="A26" i="1"/>
  <c r="E26" i="1" s="1"/>
  <c r="A6" i="6" l="1"/>
  <c r="D6" i="6"/>
  <c r="L6" i="6"/>
  <c r="E2" i="1"/>
  <c r="C23" i="1"/>
  <c r="B11" i="1"/>
  <c r="D11" i="1" s="1"/>
  <c r="F11" i="1" s="1"/>
  <c r="B23" i="1"/>
  <c r="G23" i="1" s="1"/>
  <c r="H23" i="1" s="1"/>
  <c r="B2" i="1"/>
  <c r="G2" i="1" s="1"/>
  <c r="H2" i="1" s="1"/>
  <c r="B26" i="1"/>
  <c r="C26" i="1"/>
  <c r="C8" i="1"/>
  <c r="B8" i="1"/>
  <c r="G8" i="1" s="1"/>
  <c r="H8" i="1" s="1"/>
  <c r="B25" i="1"/>
  <c r="G25" i="1" s="1"/>
  <c r="H25" i="1" s="1"/>
  <c r="C7" i="1"/>
  <c r="D7" i="1" s="1"/>
  <c r="B9" i="1"/>
  <c r="C20" i="1"/>
  <c r="B12" i="1"/>
  <c r="C24" i="1"/>
  <c r="B20" i="1"/>
  <c r="G20" i="1" s="1"/>
  <c r="H20" i="1" s="1"/>
  <c r="C25" i="1"/>
  <c r="B24" i="1"/>
  <c r="B32" i="1"/>
  <c r="B14" i="1"/>
  <c r="C12" i="1"/>
  <c r="D26" i="1"/>
  <c r="F26" i="1" s="1"/>
  <c r="B13" i="1"/>
  <c r="B15" i="1"/>
  <c r="C13" i="1"/>
  <c r="C14" i="1"/>
  <c r="B21" i="1"/>
  <c r="C19" i="1"/>
  <c r="D19" i="1" s="1"/>
  <c r="B3" i="1"/>
  <c r="E22" i="1"/>
  <c r="E10" i="1"/>
  <c r="C22" i="1"/>
  <c r="D22" i="1" s="1"/>
  <c r="B6" i="1"/>
  <c r="B18" i="1"/>
  <c r="C5" i="1"/>
  <c r="D5" i="1" s="1"/>
  <c r="C17" i="1"/>
  <c r="D17" i="1" s="1"/>
  <c r="B10" i="1"/>
  <c r="C9" i="1"/>
  <c r="C21" i="1"/>
  <c r="E19" i="1"/>
  <c r="E7" i="1"/>
  <c r="E18" i="1"/>
  <c r="E6" i="1"/>
  <c r="E17" i="1"/>
  <c r="E5" i="1"/>
  <c r="E16" i="1"/>
  <c r="E4" i="1"/>
  <c r="B4" i="1"/>
  <c r="G5" i="1" s="1"/>
  <c r="H5" i="1" s="1"/>
  <c r="B16" i="1"/>
  <c r="C3" i="1"/>
  <c r="C15" i="1"/>
  <c r="G9" i="1" l="1"/>
  <c r="H9" i="1" s="1"/>
  <c r="D24" i="1"/>
  <c r="F24" i="1" s="1"/>
  <c r="G12" i="1"/>
  <c r="H12" i="1" s="1"/>
  <c r="D2" i="1"/>
  <c r="F2" i="1" s="1"/>
  <c r="G21" i="1"/>
  <c r="H21" i="1" s="1"/>
  <c r="G13" i="1"/>
  <c r="H13" i="1" s="1"/>
  <c r="D12" i="1"/>
  <c r="F12" i="1" s="1"/>
  <c r="G3" i="1"/>
  <c r="H3" i="1" s="1"/>
  <c r="D8" i="1"/>
  <c r="F8" i="1" s="1"/>
  <c r="D23" i="1"/>
  <c r="F23" i="1" s="1"/>
  <c r="G24" i="1"/>
  <c r="H24" i="1" s="1"/>
  <c r="D9" i="1"/>
  <c r="F9" i="1" s="1"/>
  <c r="F19" i="1"/>
  <c r="G14" i="1"/>
  <c r="H14" i="1" s="1"/>
  <c r="D16" i="1"/>
  <c r="F16" i="1" s="1"/>
  <c r="G16" i="1"/>
  <c r="H16" i="1" s="1"/>
  <c r="F17" i="1"/>
  <c r="G17" i="1"/>
  <c r="H17" i="1" s="1"/>
  <c r="D10" i="1"/>
  <c r="F10" i="1" s="1"/>
  <c r="G10" i="1"/>
  <c r="H10" i="1" s="1"/>
  <c r="G26" i="1"/>
  <c r="H26" i="1" s="1"/>
  <c r="F5" i="1"/>
  <c r="D13" i="1"/>
  <c r="F13" i="1" s="1"/>
  <c r="D4" i="1"/>
  <c r="F4" i="1" s="1"/>
  <c r="G4" i="1"/>
  <c r="H4" i="1" s="1"/>
  <c r="D18" i="1"/>
  <c r="F18" i="1" s="1"/>
  <c r="G18" i="1"/>
  <c r="H18" i="1" s="1"/>
  <c r="G15" i="1"/>
  <c r="H15" i="1" s="1"/>
  <c r="G11" i="1"/>
  <c r="H11" i="1" s="1"/>
  <c r="D6" i="1"/>
  <c r="F6" i="1" s="1"/>
  <c r="G6" i="1"/>
  <c r="H6" i="1" s="1"/>
  <c r="G7" i="1"/>
  <c r="H7" i="1" s="1"/>
  <c r="F22" i="1"/>
  <c r="G22" i="1"/>
  <c r="H22" i="1" s="1"/>
  <c r="F7" i="1"/>
  <c r="G19" i="1"/>
  <c r="H19" i="1" s="1"/>
  <c r="D25" i="1"/>
  <c r="F25" i="1" s="1"/>
  <c r="D20" i="1"/>
  <c r="F20" i="1" s="1"/>
  <c r="D15" i="1"/>
  <c r="F15" i="1" s="1"/>
  <c r="D14" i="1"/>
  <c r="F14" i="1" s="1"/>
  <c r="D21" i="1"/>
  <c r="F21" i="1" s="1"/>
  <c r="D3" i="1"/>
  <c r="F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C98105-0967-407C-9CCD-1AFB19569D27}" keepAlive="1" name="Query - kpis_monthly" description="Connection to the 'kpis_monthly' query in the workbook." type="5" refreshedVersion="8" background="1" saveData="1">
    <dbPr connection="Provider=Microsoft.Mashup.OleDb.1;Data Source=$Workbook$;Location=kpis_monthly;Extended Properties=&quot;&quot;" command="SELECT * FROM [kpis_monthly]"/>
  </connection>
  <connection id="2" xr16:uid="{DE9F79BD-0E71-4F95-A86C-1D698CABBB17}" keepAlive="1" name="Query - kpis_monthly_country" description="Connection to the 'kpis_monthly_country' query in the workbook." type="5" refreshedVersion="8" background="1" saveData="1">
    <dbPr connection="Provider=Microsoft.Mashup.OleDb.1;Data Source=$Workbook$;Location=kpis_monthly_country;Extended Properties=&quot;&quot;" command="SELECT * FROM [kpis_monthly_count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<sst xmlns="http://schemas.openxmlformats.org/spreadsheetml/2006/main" count="611" uniqueCount="70">
  <si>
    <t>InvoiceMonth</t>
  </si>
  <si>
    <t>Revenue</t>
  </si>
  <si>
    <t>Orders</t>
  </si>
  <si>
    <t>ActiveCustomers</t>
  </si>
  <si>
    <t>UnitsSold</t>
  </si>
  <si>
    <t>AOV</t>
  </si>
  <si>
    <t>Revenue_MoM_Growth</t>
  </si>
  <si>
    <t>ActiveCustomers_MoM_Growth</t>
  </si>
  <si>
    <t>Country</t>
  </si>
  <si>
    <t>Australia</t>
  </si>
  <si>
    <t>Austria</t>
  </si>
  <si>
    <t>Bahrain</t>
  </si>
  <si>
    <t>Belgium</t>
  </si>
  <si>
    <t>Brazil</t>
  </si>
  <si>
    <t>Canada</t>
  </si>
  <si>
    <t>Channel Islands</t>
  </si>
  <si>
    <t>Cyprus</t>
  </si>
  <si>
    <t>Czech Republic</t>
  </si>
  <si>
    <t>Denmark</t>
  </si>
  <si>
    <t>EIRE</t>
  </si>
  <si>
    <t>European Community</t>
  </si>
  <si>
    <t>Finland</t>
  </si>
  <si>
    <t>France</t>
  </si>
  <si>
    <t>Germany</t>
  </si>
  <si>
    <t>Greece</t>
  </si>
  <si>
    <t>Iceland</t>
  </si>
  <si>
    <t>Israel</t>
  </si>
  <si>
    <t>Italy</t>
  </si>
  <si>
    <t>Japan</t>
  </si>
  <si>
    <t>Korea</t>
  </si>
  <si>
    <t>Lebanon</t>
  </si>
  <si>
    <t>Lithuania</t>
  </si>
  <si>
    <t>Malta</t>
  </si>
  <si>
    <t>Netherlands</t>
  </si>
  <si>
    <t>Nigeria</t>
  </si>
  <si>
    <t>Norway</t>
  </si>
  <si>
    <t>Poland</t>
  </si>
  <si>
    <t>Portugal</t>
  </si>
  <si>
    <t>RSA</t>
  </si>
  <si>
    <t>Saudi Arabia</t>
  </si>
  <si>
    <t>Singapore</t>
  </si>
  <si>
    <t>Spain</t>
  </si>
  <si>
    <t>Sweden</t>
  </si>
  <si>
    <t>Switzerland</t>
  </si>
  <si>
    <t>Thailand</t>
  </si>
  <si>
    <t>USA</t>
  </si>
  <si>
    <t>United Arab Emirates</t>
  </si>
  <si>
    <t>United Kingdom</t>
  </si>
  <si>
    <t>Unspecified</t>
  </si>
  <si>
    <t>West Indies</t>
  </si>
  <si>
    <t>Row Labels</t>
  </si>
  <si>
    <t>Grand Total</t>
  </si>
  <si>
    <t>Sum of Revenue</t>
  </si>
  <si>
    <t>Sum of Orders</t>
  </si>
  <si>
    <t>Sum of ActiveCustomers</t>
  </si>
  <si>
    <t>(All)</t>
  </si>
  <si>
    <t>Average of AOV</t>
  </si>
  <si>
    <t>AOV_Recomputed</t>
  </si>
  <si>
    <t>AOV_Original</t>
  </si>
  <si>
    <t>AOV_Diff</t>
  </si>
  <si>
    <t>Selected Month</t>
  </si>
  <si>
    <t>Country Revenue Sum</t>
  </si>
  <si>
    <t>Overall Revenue</t>
  </si>
  <si>
    <t>Difference</t>
  </si>
  <si>
    <t>Column1</t>
  </si>
  <si>
    <t>MonthKey</t>
  </si>
  <si>
    <t>Revenue_MoM_Formula</t>
  </si>
  <si>
    <t>Active Customers</t>
  </si>
  <si>
    <t>Decision Intelligence Dashboard</t>
  </si>
  <si>
    <t>Latest 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</si>
</sst>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mmm\ yyyy"/>
    <numFmt numFmtId="170" formatCode="&quot;$&quot;#,##0.00"/>
  </numFmts>
  <fonts count="10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0" fillId="0" borderId="0" xfId="0" pivotButton="1" applyNumberFormat="1"/>
    <xf numFmtId="168" fontId="0" fillId="0" borderId="0" xfId="0" applyNumberFormat="1" applyAlignment="1">
      <alignment horizontal="left"/>
    </xf>
    <xf numFmtId="168" fontId="0" fillId="0" borderId="0" xfId="0" applyNumberFormat="1"/>
    <xf numFmtId="10" fontId="0" fillId="0" borderId="0" xfId="0" applyNumberFormat="1"/>
    <xf numFmtId="170" fontId="0" fillId="0" borderId="0" xfId="0" applyNumberFormat="1"/>
    <xf numFmtId="4" fontId="1" fillId="0" borderId="0" xfId="0" applyNumberFormat="1" applyFont="1" applyAlignment="1">
      <alignment vertical="center" wrapText="1"/>
    </xf>
    <xf numFmtId="4" fontId="0" fillId="0" borderId="0" xfId="0" applyNumberFormat="1"/>
    <xf numFmtId="0" fontId="0" fillId="0" borderId="0" xfId="0" applyAlignment="1"/>
    <xf numFmtId="170" fontId="4" fillId="3" borderId="3" xfId="0" applyNumberFormat="1" applyFont="1" applyFill="1" applyBorder="1" applyAlignment="1">
      <alignment horizontal="center"/>
    </xf>
    <xf numFmtId="170" fontId="4" fillId="3" borderId="4" xfId="0" applyNumberFormat="1" applyFont="1" applyFill="1" applyBorder="1" applyAlignment="1">
      <alignment horizontal="center"/>
    </xf>
    <xf numFmtId="170" fontId="4" fillId="3" borderId="5" xfId="0" applyNumberFormat="1" applyFont="1" applyFill="1" applyBorder="1" applyAlignment="1">
      <alignment horizontal="center"/>
    </xf>
    <xf numFmtId="170" fontId="4" fillId="3" borderId="6" xfId="0" applyNumberFormat="1" applyFont="1" applyFill="1" applyBorder="1" applyAlignment="1">
      <alignment horizontal="center"/>
    </xf>
    <xf numFmtId="4" fontId="4" fillId="3" borderId="3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  <xf numFmtId="4" fontId="4" fillId="3" borderId="5" xfId="0" applyNumberFormat="1" applyFont="1" applyFill="1" applyBorder="1" applyAlignment="1">
      <alignment horizontal="center"/>
    </xf>
    <xf numFmtId="4" fontId="4" fillId="3" borderId="6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70" fontId="4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4" fontId="4" fillId="3" borderId="4" xfId="0" applyNumberFormat="1" applyFont="1" applyFill="1" applyBorder="1" applyAlignment="1"/>
    <xf numFmtId="4" fontId="4" fillId="3" borderId="0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0" fontId="4" fillId="3" borderId="7" xfId="0" applyNumberFormat="1" applyFont="1" applyFill="1" applyBorder="1" applyAlignment="1">
      <alignment horizontal="center"/>
    </xf>
    <xf numFmtId="4" fontId="4" fillId="3" borderId="7" xfId="0" applyNumberFormat="1" applyFont="1" applyFill="1" applyBorder="1" applyAlignment="1">
      <alignment horizontal="center"/>
    </xf>
    <xf numFmtId="0" fontId="3" fillId="0" borderId="0" xfId="0" applyFont="1" applyAlignment="1"/>
    <xf numFmtId="168" fontId="2" fillId="0" borderId="0" xfId="0" applyNumberFormat="1" applyFont="1" applyAlignment="1"/>
    <xf numFmtId="0" fontId="3" fillId="3" borderId="2" xfId="0" applyFont="1" applyFill="1" applyBorder="1" applyAlignment="1"/>
    <xf numFmtId="4" fontId="4" fillId="3" borderId="0" xfId="0" applyNumberFormat="1" applyFont="1" applyFill="1" applyBorder="1" applyAlignment="1"/>
    <xf numFmtId="0" fontId="3" fillId="5" borderId="1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" fontId="5" fillId="5" borderId="3" xfId="0" applyNumberFormat="1" applyFont="1" applyFill="1" applyBorder="1" applyAlignment="1">
      <alignment horizontal="center"/>
    </xf>
    <xf numFmtId="4" fontId="5" fillId="5" borderId="0" xfId="0" applyNumberFormat="1" applyFont="1" applyFill="1" applyBorder="1" applyAlignment="1">
      <alignment horizontal="center"/>
    </xf>
    <xf numFmtId="4" fontId="5" fillId="5" borderId="4" xfId="0" applyNumberFormat="1" applyFont="1" applyFill="1" applyBorder="1" applyAlignment="1">
      <alignment horizontal="center"/>
    </xf>
    <xf numFmtId="4" fontId="5" fillId="5" borderId="5" xfId="0" applyNumberFormat="1" applyFont="1" applyFill="1" applyBorder="1" applyAlignment="1">
      <alignment horizontal="center"/>
    </xf>
    <xf numFmtId="4" fontId="5" fillId="5" borderId="7" xfId="0" applyNumberFormat="1" applyFont="1" applyFill="1" applyBorder="1" applyAlignment="1">
      <alignment horizontal="center"/>
    </xf>
    <xf numFmtId="4" fontId="5" fillId="5" borderId="6" xfId="0" applyNumberFormat="1" applyFont="1" applyFill="1" applyBorder="1" applyAlignment="1">
      <alignment horizontal="center"/>
    </xf>
    <xf numFmtId="170" fontId="5" fillId="5" borderId="3" xfId="0" applyNumberFormat="1" applyFont="1" applyFill="1" applyBorder="1" applyAlignment="1">
      <alignment horizontal="center"/>
    </xf>
    <xf numFmtId="170" fontId="5" fillId="5" borderId="0" xfId="0" applyNumberFormat="1" applyFont="1" applyFill="1" applyBorder="1" applyAlignment="1">
      <alignment horizontal="center"/>
    </xf>
    <xf numFmtId="170" fontId="5" fillId="5" borderId="4" xfId="0" applyNumberFormat="1" applyFont="1" applyFill="1" applyBorder="1" applyAlignment="1">
      <alignment horizontal="center"/>
    </xf>
    <xf numFmtId="170" fontId="5" fillId="5" borderId="5" xfId="0" applyNumberFormat="1" applyFont="1" applyFill="1" applyBorder="1" applyAlignment="1">
      <alignment horizontal="center"/>
    </xf>
    <xf numFmtId="170" fontId="5" fillId="5" borderId="7" xfId="0" applyNumberFormat="1" applyFont="1" applyFill="1" applyBorder="1" applyAlignment="1">
      <alignment horizontal="center"/>
    </xf>
    <xf numFmtId="170" fontId="5" fillId="5" borderId="6" xfId="0" applyNumberFormat="1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8" fontId="8" fillId="0" borderId="0" xfId="0" applyNumberFormat="1" applyFont="1"/>
    <xf numFmtId="0" fontId="9" fillId="0" borderId="0" xfId="0" applyFont="1" applyAlignment="1">
      <alignment horizontal="center"/>
    </xf>
  </cellXfs>
  <cellStyles count="1">
    <cellStyle name="Normal" xfId="0" builtinId="0"/>
  </cellStyles>
  <dxfs count="15"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mmm\ yyyy"/>
    </dxf>
    <dxf>
      <numFmt numFmtId="168" formatCode="mmm\ yyyy"/>
    </dxf>
    <dxf>
      <numFmt numFmtId="168" formatCode="mmm\ yyyy"/>
    </dxf>
    <dxf>
      <numFmt numFmtId="168" formatCode="mmm\ yyyy"/>
    </dxf>
    <dxf>
      <numFmt numFmtId="168" formatCode="mmm\ yyyy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Revenue, Orders, and Active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Pivots!$C$1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Pivots!$C$2:$C$27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0-4325-805D-6540F878034A}"/>
            </c:ext>
          </c:extLst>
        </c:ser>
        <c:ser>
          <c:idx val="2"/>
          <c:order val="2"/>
          <c:tx>
            <c:strRef>
              <c:f>Pivots!$D$1</c:f>
              <c:strCache>
                <c:ptCount val="1"/>
                <c:pt idx="0">
                  <c:v>Sum of ActiveCustomers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Pivots!$D$2:$D$27</c:f>
              <c:numCache>
                <c:formatCode>General</c:formatCode>
                <c:ptCount val="25"/>
                <c:pt idx="0">
                  <c:v>955</c:v>
                </c:pt>
                <c:pt idx="1">
                  <c:v>720</c:v>
                </c:pt>
                <c:pt idx="2">
                  <c:v>772</c:v>
                </c:pt>
                <c:pt idx="3">
                  <c:v>1057</c:v>
                </c:pt>
                <c:pt idx="4">
                  <c:v>942</c:v>
                </c:pt>
                <c:pt idx="5">
                  <c:v>966</c:v>
                </c:pt>
                <c:pt idx="6">
                  <c:v>1041</c:v>
                </c:pt>
                <c:pt idx="7">
                  <c:v>928</c:v>
                </c:pt>
                <c:pt idx="8">
                  <c:v>911</c:v>
                </c:pt>
                <c:pt idx="9">
                  <c:v>1145</c:v>
                </c:pt>
                <c:pt idx="10">
                  <c:v>1497</c:v>
                </c:pt>
                <c:pt idx="11">
                  <c:v>1607</c:v>
                </c:pt>
                <c:pt idx="12">
                  <c:v>885</c:v>
                </c:pt>
                <c:pt idx="13">
                  <c:v>741</c:v>
                </c:pt>
                <c:pt idx="14">
                  <c:v>758</c:v>
                </c:pt>
                <c:pt idx="15">
                  <c:v>974</c:v>
                </c:pt>
                <c:pt idx="16">
                  <c:v>856</c:v>
                </c:pt>
                <c:pt idx="17">
                  <c:v>1056</c:v>
                </c:pt>
                <c:pt idx="18">
                  <c:v>991</c:v>
                </c:pt>
                <c:pt idx="19">
                  <c:v>949</c:v>
                </c:pt>
                <c:pt idx="20">
                  <c:v>935</c:v>
                </c:pt>
                <c:pt idx="21">
                  <c:v>1266</c:v>
                </c:pt>
                <c:pt idx="22">
                  <c:v>1364</c:v>
                </c:pt>
                <c:pt idx="23">
                  <c:v>1664</c:v>
                </c:pt>
                <c:pt idx="24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0-4325-805D-6540F878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940223"/>
        <c:axId val="2064940703"/>
      </c:lineChart>
      <c:lineChart>
        <c:grouping val="standar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Pivots!$B$2:$B$27</c:f>
              <c:numCache>
                <c:formatCode>General</c:formatCode>
                <c:ptCount val="25"/>
                <c:pt idx="0">
                  <c:v>683504.01</c:v>
                </c:pt>
                <c:pt idx="1">
                  <c:v>555802.67200000002</c:v>
                </c:pt>
                <c:pt idx="2">
                  <c:v>504558.95600000001</c:v>
                </c:pt>
                <c:pt idx="3">
                  <c:v>696978.47100000002</c:v>
                </c:pt>
                <c:pt idx="4">
                  <c:v>591982.00199999998</c:v>
                </c:pt>
                <c:pt idx="5">
                  <c:v>597833.38</c:v>
                </c:pt>
                <c:pt idx="6">
                  <c:v>636371.13</c:v>
                </c:pt>
                <c:pt idx="7">
                  <c:v>589736.17000000004</c:v>
                </c:pt>
                <c:pt idx="8">
                  <c:v>602224.6</c:v>
                </c:pt>
                <c:pt idx="9">
                  <c:v>829013.951</c:v>
                </c:pt>
                <c:pt idx="10">
                  <c:v>1033112.01</c:v>
                </c:pt>
                <c:pt idx="11">
                  <c:v>1166460.0220000001</c:v>
                </c:pt>
                <c:pt idx="12">
                  <c:v>881079.1</c:v>
                </c:pt>
                <c:pt idx="13">
                  <c:v>568101.31000000006</c:v>
                </c:pt>
                <c:pt idx="14">
                  <c:v>446084.92</c:v>
                </c:pt>
                <c:pt idx="15">
                  <c:v>594081.76</c:v>
                </c:pt>
                <c:pt idx="16">
                  <c:v>468374.33100000001</c:v>
                </c:pt>
                <c:pt idx="17">
                  <c:v>677355.15</c:v>
                </c:pt>
                <c:pt idx="18">
                  <c:v>660046.05000000005</c:v>
                </c:pt>
                <c:pt idx="19">
                  <c:v>598962.90099999995</c:v>
                </c:pt>
                <c:pt idx="20">
                  <c:v>644051.04</c:v>
                </c:pt>
                <c:pt idx="21">
                  <c:v>950690.20200000005</c:v>
                </c:pt>
                <c:pt idx="22">
                  <c:v>1035642.45</c:v>
                </c:pt>
                <c:pt idx="23">
                  <c:v>1156205.6100000001</c:v>
                </c:pt>
                <c:pt idx="24">
                  <c:v>517208.44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0-4325-805D-6540F878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671103"/>
        <c:axId val="2088674463"/>
      </c:lineChart>
      <c:catAx>
        <c:axId val="2064940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40703"/>
        <c:crosses val="autoZero"/>
        <c:auto val="1"/>
        <c:lblAlgn val="ctr"/>
        <c:lblOffset val="100"/>
        <c:noMultiLvlLbl val="0"/>
      </c:catAx>
      <c:valAx>
        <c:axId val="206494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Orders / Active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40223"/>
        <c:crosses val="autoZero"/>
        <c:crossBetween val="between"/>
      </c:valAx>
      <c:valAx>
        <c:axId val="208867446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671103"/>
        <c:crosses val="max"/>
        <c:crossBetween val="between"/>
      </c:valAx>
      <c:catAx>
        <c:axId val="20886711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886744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019693308104732"/>
          <c:y val="0.12568997057186032"/>
          <c:w val="0.73187741562645059"/>
          <c:h val="0.7034612860892388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Pivots!$G$4:$G$14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Pivots!$H$4:$H$14</c:f>
              <c:numCache>
                <c:formatCode>General</c:formatCode>
                <c:ptCount val="10"/>
                <c:pt idx="0">
                  <c:v>14666669.077</c:v>
                </c:pt>
                <c:pt idx="1">
                  <c:v>621304.32000000007</c:v>
                </c:pt>
                <c:pt idx="2">
                  <c:v>554230.69000000006</c:v>
                </c:pt>
                <c:pt idx="3">
                  <c:v>430703.79099999991</c:v>
                </c:pt>
                <c:pt idx="4">
                  <c:v>355059.37999999995</c:v>
                </c:pt>
                <c:pt idx="5">
                  <c:v>169900.61000000004</c:v>
                </c:pt>
                <c:pt idx="6">
                  <c:v>109127.21000000002</c:v>
                </c:pt>
                <c:pt idx="7">
                  <c:v>100365.34</c:v>
                </c:pt>
                <c:pt idx="8">
                  <c:v>91515.82</c:v>
                </c:pt>
                <c:pt idx="9">
                  <c:v>69862.189999999988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4-4611-B65B-46EAA21C8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4063568"/>
        <c:axId val="1784059728"/>
      </c:barChart>
      <c:catAx>
        <c:axId val="17840635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3.3116883600673212E-2"/>
              <c:y val="0.401633336011407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59728"/>
        <c:crosses val="autoZero"/>
        <c:auto val="1"/>
        <c:lblAlgn val="ctr"/>
        <c:lblOffset val="100"/>
        <c:noMultiLvlLbl val="0"/>
      </c:catAx>
      <c:valAx>
        <c:axId val="1784059728"/>
        <c:scaling>
          <c:orientation val="minMax"/>
          <c:max val="15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6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Order Value and Orders Over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Pivots!$S$1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Pivots!$S$2:$S$27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2F-4A41-BDC8-FDBF72ED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960655"/>
        <c:axId val="2101962575"/>
      </c:lineChart>
      <c:lineChart>
        <c:grouping val="standard"/>
        <c:varyColors val="0"/>
        <c:ser>
          <c:idx val="0"/>
          <c:order val="0"/>
          <c:tx>
            <c:strRef>
              <c:f>Pivots!$R$1</c:f>
              <c:strCache>
                <c:ptCount val="1"/>
                <c:pt idx="0">
                  <c:v>Average of AOV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Pivots!$R$2:$R$27</c:f>
              <c:numCache>
                <c:formatCode>General</c:formatCode>
                <c:ptCount val="25"/>
                <c:pt idx="0">
                  <c:v>452.05291666666665</c:v>
                </c:pt>
                <c:pt idx="1">
                  <c:v>549.75536300692386</c:v>
                </c:pt>
                <c:pt idx="2">
                  <c:v>457.02803985507245</c:v>
                </c:pt>
                <c:pt idx="3">
                  <c:v>457.33495472440944</c:v>
                </c:pt>
                <c:pt idx="4">
                  <c:v>445.43416252821669</c:v>
                </c:pt>
                <c:pt idx="5">
                  <c:v>434.15641249092232</c:v>
                </c:pt>
                <c:pt idx="6">
                  <c:v>425.09761523046092</c:v>
                </c:pt>
                <c:pt idx="7">
                  <c:v>427.03560463432297</c:v>
                </c:pt>
                <c:pt idx="8">
                  <c:v>465.75761794276872</c:v>
                </c:pt>
                <c:pt idx="9">
                  <c:v>490.8312320899941</c:v>
                </c:pt>
                <c:pt idx="10">
                  <c:v>484.34693389592127</c:v>
                </c:pt>
                <c:pt idx="11">
                  <c:v>450.89293467336688</c:v>
                </c:pt>
                <c:pt idx="12">
                  <c:v>629.34221428571425</c:v>
                </c:pt>
                <c:pt idx="13">
                  <c:v>575.58390070921996</c:v>
                </c:pt>
                <c:pt idx="14">
                  <c:v>447.4272016048144</c:v>
                </c:pt>
                <c:pt idx="15">
                  <c:v>449.72124148372444</c:v>
                </c:pt>
                <c:pt idx="16">
                  <c:v>407.63649347258485</c:v>
                </c:pt>
                <c:pt idx="17">
                  <c:v>435.59816720257237</c:v>
                </c:pt>
                <c:pt idx="18">
                  <c:v>473.83061737257719</c:v>
                </c:pt>
                <c:pt idx="19">
                  <c:v>450.00969271224642</c:v>
                </c:pt>
                <c:pt idx="20">
                  <c:v>503.16487500000005</c:v>
                </c:pt>
                <c:pt idx="21">
                  <c:v>541.70381880341881</c:v>
                </c:pt>
                <c:pt idx="22">
                  <c:v>536.88048211508556</c:v>
                </c:pt>
                <c:pt idx="23">
                  <c:v>435.15453895370723</c:v>
                </c:pt>
                <c:pt idx="24">
                  <c:v>664.79233933161959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2F-4A41-BDC8-FDBF72ED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0814127"/>
        <c:axId val="1930142191"/>
      </c:lineChart>
      <c:catAx>
        <c:axId val="2101960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62575"/>
        <c:crosses val="autoZero"/>
        <c:auto val="1"/>
        <c:lblAlgn val="ctr"/>
        <c:lblOffset val="100"/>
        <c:noMultiLvlLbl val="0"/>
      </c:catAx>
      <c:valAx>
        <c:axId val="210196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Orders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60655"/>
        <c:crosses val="autoZero"/>
        <c:crossBetween val="between"/>
      </c:valAx>
      <c:valAx>
        <c:axId val="19301421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0"/>
                  <a:t>Average Order Value (AOV)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814127"/>
        <c:crosses val="max"/>
        <c:crossBetween val="between"/>
      </c:valAx>
      <c:catAx>
        <c:axId val="1850814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0142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[decision_intelligence_dashboard.xlsx]Pivots!PivotTable1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Revenue, Orders, and Active Customers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2"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alpha val="98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88496339273381"/>
          <c:y val="0.16535024549286198"/>
          <c:w val="0.6037517267578395"/>
          <c:h val="0.52850837856062938"/>
        </c:manualLayout>
      </c:layout>
      <c:lineChart>
        <c:grouping val="standard"/>
        <c:varyColors val="0"/>
        <c:ser>
          <c:idx val="1"/>
          <c:order val="1"/>
          <c:tx>
            <c:strRef>
              <c:f>Pivots!$C$1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>
                  <a:alpha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Pivots!$C$2:$C$27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9A-4486-96E1-0701F9C254C2}"/>
            </c:ext>
          </c:extLst>
        </c:ser>
        <c:ser>
          <c:idx val="2"/>
          <c:order val="2"/>
          <c:tx>
            <c:strRef>
              <c:f>Pivots!$D$1</c:f>
              <c:strCache>
                <c:ptCount val="1"/>
                <c:pt idx="0">
                  <c:v>Sum of ActiveCustomers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Pivots!$D$2:$D$27</c:f>
              <c:numCache>
                <c:formatCode>General</c:formatCode>
                <c:ptCount val="25"/>
                <c:pt idx="0">
                  <c:v>955</c:v>
                </c:pt>
                <c:pt idx="1">
                  <c:v>720</c:v>
                </c:pt>
                <c:pt idx="2">
                  <c:v>772</c:v>
                </c:pt>
                <c:pt idx="3">
                  <c:v>1057</c:v>
                </c:pt>
                <c:pt idx="4">
                  <c:v>942</c:v>
                </c:pt>
                <c:pt idx="5">
                  <c:v>966</c:v>
                </c:pt>
                <c:pt idx="6">
                  <c:v>1041</c:v>
                </c:pt>
                <c:pt idx="7">
                  <c:v>928</c:v>
                </c:pt>
                <c:pt idx="8">
                  <c:v>911</c:v>
                </c:pt>
                <c:pt idx="9">
                  <c:v>1145</c:v>
                </c:pt>
                <c:pt idx="10">
                  <c:v>1497</c:v>
                </c:pt>
                <c:pt idx="11">
                  <c:v>1607</c:v>
                </c:pt>
                <c:pt idx="12">
                  <c:v>885</c:v>
                </c:pt>
                <c:pt idx="13">
                  <c:v>741</c:v>
                </c:pt>
                <c:pt idx="14">
                  <c:v>758</c:v>
                </c:pt>
                <c:pt idx="15">
                  <c:v>974</c:v>
                </c:pt>
                <c:pt idx="16">
                  <c:v>856</c:v>
                </c:pt>
                <c:pt idx="17">
                  <c:v>1056</c:v>
                </c:pt>
                <c:pt idx="18">
                  <c:v>991</c:v>
                </c:pt>
                <c:pt idx="19">
                  <c:v>949</c:v>
                </c:pt>
                <c:pt idx="20">
                  <c:v>935</c:v>
                </c:pt>
                <c:pt idx="21">
                  <c:v>1266</c:v>
                </c:pt>
                <c:pt idx="22">
                  <c:v>1364</c:v>
                </c:pt>
                <c:pt idx="23">
                  <c:v>1664</c:v>
                </c:pt>
                <c:pt idx="24">
                  <c:v>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9A-4486-96E1-0701F9C25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06271"/>
        <c:axId val="2101950735"/>
      </c:lineChart>
      <c:lineChart>
        <c:grouping val="standar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Pivots!$A$2:$A$27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Pivots!$B$2:$B$27</c:f>
              <c:numCache>
                <c:formatCode>General</c:formatCode>
                <c:ptCount val="25"/>
                <c:pt idx="0">
                  <c:v>683504.01</c:v>
                </c:pt>
                <c:pt idx="1">
                  <c:v>555802.67200000002</c:v>
                </c:pt>
                <c:pt idx="2">
                  <c:v>504558.95600000001</c:v>
                </c:pt>
                <c:pt idx="3">
                  <c:v>696978.47100000002</c:v>
                </c:pt>
                <c:pt idx="4">
                  <c:v>591982.00199999998</c:v>
                </c:pt>
                <c:pt idx="5">
                  <c:v>597833.38</c:v>
                </c:pt>
                <c:pt idx="6">
                  <c:v>636371.13</c:v>
                </c:pt>
                <c:pt idx="7">
                  <c:v>589736.17000000004</c:v>
                </c:pt>
                <c:pt idx="8">
                  <c:v>602224.6</c:v>
                </c:pt>
                <c:pt idx="9">
                  <c:v>829013.951</c:v>
                </c:pt>
                <c:pt idx="10">
                  <c:v>1033112.01</c:v>
                </c:pt>
                <c:pt idx="11">
                  <c:v>1166460.0220000001</c:v>
                </c:pt>
                <c:pt idx="12">
                  <c:v>881079.1</c:v>
                </c:pt>
                <c:pt idx="13">
                  <c:v>568101.31000000006</c:v>
                </c:pt>
                <c:pt idx="14">
                  <c:v>446084.92</c:v>
                </c:pt>
                <c:pt idx="15">
                  <c:v>594081.76</c:v>
                </c:pt>
                <c:pt idx="16">
                  <c:v>468374.33100000001</c:v>
                </c:pt>
                <c:pt idx="17">
                  <c:v>677355.15</c:v>
                </c:pt>
                <c:pt idx="18">
                  <c:v>660046.05000000005</c:v>
                </c:pt>
                <c:pt idx="19">
                  <c:v>598962.90099999995</c:v>
                </c:pt>
                <c:pt idx="20">
                  <c:v>644051.04</c:v>
                </c:pt>
                <c:pt idx="21">
                  <c:v>950690.20200000005</c:v>
                </c:pt>
                <c:pt idx="22">
                  <c:v>1035642.45</c:v>
                </c:pt>
                <c:pt idx="23">
                  <c:v>1156205.6100000001</c:v>
                </c:pt>
                <c:pt idx="24">
                  <c:v>517208.44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9A-4486-96E1-0701F9C254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082288"/>
        <c:axId val="1784027088"/>
      </c:lineChart>
      <c:catAx>
        <c:axId val="1924206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50735"/>
        <c:crosses val="autoZero"/>
        <c:auto val="1"/>
        <c:lblAlgn val="ctr"/>
        <c:lblOffset val="100"/>
        <c:noMultiLvlLbl val="0"/>
      </c:catAx>
      <c:valAx>
        <c:axId val="21019507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Orders / Active Customers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06271"/>
        <c:crosses val="autoZero"/>
        <c:crossBetween val="between"/>
      </c:valAx>
      <c:valAx>
        <c:axId val="17840270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82288"/>
        <c:crosses val="max"/>
        <c:crossBetween val="between"/>
      </c:valAx>
      <c:catAx>
        <c:axId val="1784082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027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88631026384855"/>
          <c:y val="0.48458333333333331"/>
          <c:w val="0.13039767233043237"/>
          <c:h val="0.4931768535000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Pivots!$G$4:$G$14</c:f>
              <c:strCache>
                <c:ptCount val="10"/>
                <c:pt idx="0">
                  <c:v>United Kingdom</c:v>
                </c:pt>
                <c:pt idx="1">
                  <c:v>EIRE</c:v>
                </c:pt>
                <c:pt idx="2">
                  <c:v>Netherlands</c:v>
                </c:pt>
                <c:pt idx="3">
                  <c:v>Germany</c:v>
                </c:pt>
                <c:pt idx="4">
                  <c:v>France</c:v>
                </c:pt>
                <c:pt idx="5">
                  <c:v>Australia</c:v>
                </c:pt>
                <c:pt idx="6">
                  <c:v>Spain</c:v>
                </c:pt>
                <c:pt idx="7">
                  <c:v>Switzerland</c:v>
                </c:pt>
                <c:pt idx="8">
                  <c:v>Sweden</c:v>
                </c:pt>
                <c:pt idx="9">
                  <c:v>Denmark</c:v>
                </c:pt>
              </c:strCache>
            </c:strRef>
          </c:cat>
          <c:val>
            <c:numRef>
              <c:f>Pivots!$H$4:$H$14</c:f>
              <c:numCache>
                <c:formatCode>General</c:formatCode>
                <c:ptCount val="10"/>
                <c:pt idx="0">
                  <c:v>14666669.077</c:v>
                </c:pt>
                <c:pt idx="1">
                  <c:v>621304.32000000007</c:v>
                </c:pt>
                <c:pt idx="2">
                  <c:v>554230.69000000006</c:v>
                </c:pt>
                <c:pt idx="3">
                  <c:v>430703.79099999991</c:v>
                </c:pt>
                <c:pt idx="4">
                  <c:v>355059.37999999995</c:v>
                </c:pt>
                <c:pt idx="5">
                  <c:v>169900.61000000004</c:v>
                </c:pt>
                <c:pt idx="6">
                  <c:v>109127.21000000002</c:v>
                </c:pt>
                <c:pt idx="7">
                  <c:v>100365.34</c:v>
                </c:pt>
                <c:pt idx="8">
                  <c:v>91515.82</c:v>
                </c:pt>
                <c:pt idx="9">
                  <c:v>69862.189999999988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1-4498-A5A7-64F828B573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1869776"/>
        <c:axId val="91870256"/>
      </c:barChart>
      <c:catAx>
        <c:axId val="91869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0256"/>
        <c:crosses val="autoZero"/>
        <c:auto val="1"/>
        <c:lblAlgn val="ctr"/>
        <c:lblOffset val="100"/>
        <c:noMultiLvlLbl val="0"/>
      </c:catAx>
      <c:valAx>
        <c:axId val="91870256"/>
        <c:scaling>
          <c:orientation val="minMax"/>
          <c:max val="148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6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[decision_intelligence_dashboard.xlsx]Pivots!PivotTable5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Order Value and Orders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11911175576737"/>
          <c:y val="0.16535030353578647"/>
          <c:w val="0.62988862411935354"/>
          <c:h val="0.5123822381543115"/>
        </c:manualLayout>
      </c:layout>
      <c:lineChart>
        <c:grouping val="standard"/>
        <c:varyColors val="0"/>
        <c:ser>
          <c:idx val="1"/>
          <c:order val="1"/>
          <c:tx>
            <c:strRef>
              <c:f>Pivots!$S$1</c:f>
              <c:strCache>
                <c:ptCount val="1"/>
                <c:pt idx="0">
                  <c:v>Sum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Pivots!$S$2:$S$27</c:f>
              <c:numCache>
                <c:formatCode>General</c:formatCode>
                <c:ptCount val="25"/>
                <c:pt idx="0">
                  <c:v>1512</c:v>
                </c:pt>
                <c:pt idx="1">
                  <c:v>1011</c:v>
                </c:pt>
                <c:pt idx="2">
                  <c:v>1104</c:v>
                </c:pt>
                <c:pt idx="3">
                  <c:v>1524</c:v>
                </c:pt>
                <c:pt idx="4">
                  <c:v>1329</c:v>
                </c:pt>
                <c:pt idx="5">
                  <c:v>1377</c:v>
                </c:pt>
                <c:pt idx="6">
                  <c:v>1497</c:v>
                </c:pt>
                <c:pt idx="7">
                  <c:v>1381</c:v>
                </c:pt>
                <c:pt idx="8">
                  <c:v>1293</c:v>
                </c:pt>
                <c:pt idx="9">
                  <c:v>1689</c:v>
                </c:pt>
                <c:pt idx="10">
                  <c:v>2133</c:v>
                </c:pt>
                <c:pt idx="11">
                  <c:v>2587</c:v>
                </c:pt>
                <c:pt idx="12">
                  <c:v>1400</c:v>
                </c:pt>
                <c:pt idx="13">
                  <c:v>987</c:v>
                </c:pt>
                <c:pt idx="14">
                  <c:v>997</c:v>
                </c:pt>
                <c:pt idx="15">
                  <c:v>1321</c:v>
                </c:pt>
                <c:pt idx="16">
                  <c:v>1149</c:v>
                </c:pt>
                <c:pt idx="17">
                  <c:v>1555</c:v>
                </c:pt>
                <c:pt idx="18">
                  <c:v>1393</c:v>
                </c:pt>
                <c:pt idx="19">
                  <c:v>1331</c:v>
                </c:pt>
                <c:pt idx="20">
                  <c:v>1280</c:v>
                </c:pt>
                <c:pt idx="21">
                  <c:v>1755</c:v>
                </c:pt>
                <c:pt idx="22">
                  <c:v>1929</c:v>
                </c:pt>
                <c:pt idx="23">
                  <c:v>2657</c:v>
                </c:pt>
                <c:pt idx="24">
                  <c:v>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7-496B-95C9-6DEE231D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4939263"/>
        <c:axId val="2064941183"/>
      </c:lineChart>
      <c:lineChart>
        <c:grouping val="standard"/>
        <c:varyColors val="0"/>
        <c:ser>
          <c:idx val="0"/>
          <c:order val="0"/>
          <c:tx>
            <c:strRef>
              <c:f>Pivots!$R$1</c:f>
              <c:strCache>
                <c:ptCount val="1"/>
                <c:pt idx="0">
                  <c:v>Average of AOV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Pivots!$Q$2:$Q$27</c:f>
              <c:strCache>
                <c:ptCount val="25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</c:strCache>
            </c:strRef>
          </c:cat>
          <c:val>
            <c:numRef>
              <c:f>Pivots!$R$2:$R$27</c:f>
              <c:numCache>
                <c:formatCode>General</c:formatCode>
                <c:ptCount val="25"/>
                <c:pt idx="0">
                  <c:v>452.05291666666665</c:v>
                </c:pt>
                <c:pt idx="1">
                  <c:v>549.75536300692386</c:v>
                </c:pt>
                <c:pt idx="2">
                  <c:v>457.02803985507245</c:v>
                </c:pt>
                <c:pt idx="3">
                  <c:v>457.33495472440944</c:v>
                </c:pt>
                <c:pt idx="4">
                  <c:v>445.43416252821669</c:v>
                </c:pt>
                <c:pt idx="5">
                  <c:v>434.15641249092232</c:v>
                </c:pt>
                <c:pt idx="6">
                  <c:v>425.09761523046092</c:v>
                </c:pt>
                <c:pt idx="7">
                  <c:v>427.03560463432297</c:v>
                </c:pt>
                <c:pt idx="8">
                  <c:v>465.75761794276872</c:v>
                </c:pt>
                <c:pt idx="9">
                  <c:v>490.8312320899941</c:v>
                </c:pt>
                <c:pt idx="10">
                  <c:v>484.34693389592127</c:v>
                </c:pt>
                <c:pt idx="11">
                  <c:v>450.89293467336688</c:v>
                </c:pt>
                <c:pt idx="12">
                  <c:v>629.34221428571425</c:v>
                </c:pt>
                <c:pt idx="13">
                  <c:v>575.58390070921996</c:v>
                </c:pt>
                <c:pt idx="14">
                  <c:v>447.4272016048144</c:v>
                </c:pt>
                <c:pt idx="15">
                  <c:v>449.72124148372444</c:v>
                </c:pt>
                <c:pt idx="16">
                  <c:v>407.63649347258485</c:v>
                </c:pt>
                <c:pt idx="17">
                  <c:v>435.59816720257237</c:v>
                </c:pt>
                <c:pt idx="18">
                  <c:v>473.83061737257719</c:v>
                </c:pt>
                <c:pt idx="19">
                  <c:v>450.00969271224642</c:v>
                </c:pt>
                <c:pt idx="20">
                  <c:v>503.16487500000005</c:v>
                </c:pt>
                <c:pt idx="21">
                  <c:v>541.70381880341881</c:v>
                </c:pt>
                <c:pt idx="22">
                  <c:v>536.88048211508556</c:v>
                </c:pt>
                <c:pt idx="23">
                  <c:v>435.15453895370723</c:v>
                </c:pt>
                <c:pt idx="24">
                  <c:v>664.79233933161959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57-496B-95C9-6DEE231D2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4063568"/>
        <c:axId val="1784073168"/>
      </c:lineChart>
      <c:catAx>
        <c:axId val="2064939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Month-Year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41183"/>
        <c:crosses val="autoZero"/>
        <c:auto val="1"/>
        <c:lblAlgn val="ctr"/>
        <c:lblOffset val="100"/>
        <c:noMultiLvlLbl val="0"/>
      </c:catAx>
      <c:valAx>
        <c:axId val="206494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Number of Orders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39263"/>
        <c:crosses val="autoZero"/>
        <c:crossBetween val="between"/>
      </c:valAx>
      <c:valAx>
        <c:axId val="17840731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Order Value (AOV)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63568"/>
        <c:crosses val="max"/>
        <c:crossBetween val="between"/>
      </c:valAx>
      <c:catAx>
        <c:axId val="1784063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84073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273967398811992"/>
          <c:y val="0.66869497758092733"/>
          <c:w val="0.10873860339825943"/>
          <c:h val="0.31541043500360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DB513-8694-4722-85DB-6B2F316AF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10</xdr:row>
      <xdr:rowOff>3585</xdr:rowOff>
    </xdr:from>
    <xdr:to>
      <xdr:col>15</xdr:col>
      <xdr:colOff>1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40479-B37A-41EF-AA81-0F281853B1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</xdr:rowOff>
    </xdr:from>
    <xdr:to>
      <xdr:col>8</xdr:col>
      <xdr:colOff>0</xdr:colOff>
      <xdr:row>46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605E18-0FEA-4D28-BD33-5AA79AF80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9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C9C5D3-7CE9-4981-9897-C3C49BDDB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9</xdr:row>
      <xdr:rowOff>1</xdr:rowOff>
    </xdr:from>
    <xdr:to>
      <xdr:col>16</xdr:col>
      <xdr:colOff>0</xdr:colOff>
      <xdr:row>24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B54DC-4AC4-40D2-B53E-6F652345E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BFA7E-721C-4D0F-A910-FAC360B3E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" refreshedDate="46015.505011458336" createdVersion="8" refreshedVersion="8" minRefreshableVersion="3" recordCount="25" xr:uid="{1E41CF15-E983-4BF7-8C40-10EF58BCE433}">
  <cacheSource type="worksheet">
    <worksheetSource name="tbl_kpi_monthly"/>
  </cacheSource>
  <cacheFields count="8">
    <cacheField name="InvoiceMonth" numFmtId="14">
      <sharedItems containsSemiMixedTypes="0" containsNonDate="0" containsDate="1" containsString="0" minDate="2009-12-01T00:00:00" maxDate="2011-12-02T00:00:00" count="25"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</sharedItems>
    </cacheField>
    <cacheField name="Revenue" numFmtId="0">
      <sharedItems containsSemiMixedTypes="0" containsString="0" containsNumber="1" minValue="446084.92" maxValue="1166460.0220000001"/>
    </cacheField>
    <cacheField name="Orders" numFmtId="0">
      <sharedItems containsSemiMixedTypes="0" containsString="0" containsNumber="1" containsInteger="1" minValue="778" maxValue="2657"/>
    </cacheField>
    <cacheField name="ActiveCustomers" numFmtId="0">
      <sharedItems containsSemiMixedTypes="0" containsString="0" containsNumber="1" containsInteger="1" minValue="615" maxValue="1664"/>
    </cacheField>
    <cacheField name="UnitsSold" numFmtId="0">
      <sharedItems containsSemiMixedTypes="0" containsString="0" containsNumber="1" containsInteger="1" minValue="265027" maxValue="665923"/>
    </cacheField>
    <cacheField name="AOV" numFmtId="0">
      <sharedItems containsSemiMixedTypes="0" containsString="0" containsNumber="1" minValue="407.63649347258485" maxValue="664.79233933161959"/>
    </cacheField>
    <cacheField name="Revenue_MoM_Growth" numFmtId="0">
      <sharedItems containsString="0" containsBlank="1" containsNumber="1" minValue="-0.55266741873013403" maxValue="0.47611003314271483"/>
    </cacheField>
    <cacheField name="ActiveCustomers_MoM_Growth" numFmtId="0">
      <sharedItems containsString="0" containsBlank="1" containsNumber="1" minValue="-0.63040865384615385" maxValue="0.369170984455958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" refreshedDate="46015.507308680557" createdVersion="8" refreshedVersion="8" minRefreshableVersion="3" recordCount="546" xr:uid="{BC59B6BF-1ACA-4242-885D-D6F3D3CF1286}">
  <cacheSource type="worksheet">
    <worksheetSource name="tbl_kpi_country"/>
  </cacheSource>
  <cacheFields count="7">
    <cacheField name="InvoiceMonth" numFmtId="14">
      <sharedItems containsSemiMixedTypes="0" containsNonDate="0" containsDate="1" containsString="0" minDate="2009-12-01T00:00:00" maxDate="2011-12-02T00:00:00" count="25">
        <d v="2009-12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0-01-01T00:00:00"/>
      </sharedItems>
    </cacheField>
    <cacheField name="Country" numFmtId="0">
      <sharedItems count="41">
        <s v="Australia"/>
        <s v="Austria"/>
        <s v="Bahrain"/>
        <s v="Belgium"/>
        <s v="Brazil"/>
        <s v="Canada"/>
        <s v="Channel Islands"/>
        <s v="Cyprus"/>
        <s v="Czech Republic"/>
        <s v="Denmark"/>
        <s v="EIRE"/>
        <s v="European Community"/>
        <s v="Finland"/>
        <s v="France"/>
        <s v="Germany"/>
        <s v="Greece"/>
        <s v="Iceland"/>
        <s v="Israel"/>
        <s v="Italy"/>
        <s v="Japan"/>
        <s v="Korea"/>
        <s v="Lebanon"/>
        <s v="Lithuania"/>
        <s v="Malta"/>
        <s v="Netherlands"/>
        <s v="Nigeria"/>
        <s v="Norway"/>
        <s v="Poland"/>
        <s v="Portugal"/>
        <s v="RSA"/>
        <s v="Saudi Arabia"/>
        <s v="Singapore"/>
        <s v="Spain"/>
        <s v="Sweden"/>
        <s v="Switzerland"/>
        <s v="Thailand"/>
        <s v="USA"/>
        <s v="United Arab Emirates"/>
        <s v="United Kingdom"/>
        <s v="Unspecified"/>
        <s v="West Indies"/>
      </sharedItems>
    </cacheField>
    <cacheField name="Revenue" numFmtId="0">
      <sharedItems containsSemiMixedTypes="0" containsString="0" containsNumber="1" minValue="2.95" maxValue="977832.81200000003"/>
    </cacheField>
    <cacheField name="Orders" numFmtId="0">
      <sharedItems containsSemiMixedTypes="0" containsString="0" containsNumber="1" containsInteger="1" minValue="1" maxValue="2386"/>
    </cacheField>
    <cacheField name="ActiveCustomers" numFmtId="0">
      <sharedItems containsSemiMixedTypes="0" containsString="0" containsNumber="1" containsInteger="1" minValue="1" maxValue="1505"/>
    </cacheField>
    <cacheField name="UnitsSold" numFmtId="0">
      <sharedItems containsSemiMixedTypes="0" containsString="0" containsNumber="1" containsInteger="1" minValue="1" maxValue="568167"/>
    </cacheField>
    <cacheField name="AOV" numFmtId="0">
      <sharedItems containsSemiMixedTypes="0" containsString="0" containsNumber="1" minValue="2.95" maxValue="1124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n v="683504.01"/>
    <n v="1512"/>
    <n v="955"/>
    <n v="398660"/>
    <n v="452.05291666666665"/>
    <m/>
    <m/>
  </r>
  <r>
    <x v="1"/>
    <n v="555802.67200000002"/>
    <n v="1011"/>
    <n v="720"/>
    <n v="370082"/>
    <n v="549.75536300692386"/>
    <n v="-0.18683334132889728"/>
    <n v="-0.24607329842931935"/>
  </r>
  <r>
    <x v="2"/>
    <n v="504558.95600000001"/>
    <n v="1104"/>
    <n v="772"/>
    <n v="371861"/>
    <n v="457.02803985507245"/>
    <n v="-9.2197678387555548E-2"/>
    <n v="7.2222222222222188E-2"/>
  </r>
  <r>
    <x v="3"/>
    <n v="696978.47100000002"/>
    <n v="1524"/>
    <n v="1057"/>
    <n v="502100"/>
    <n v="457.33495472440944"/>
    <n v="0.38136180660719465"/>
    <n v="0.36917098445595853"/>
  </r>
  <r>
    <x v="4"/>
    <n v="591982.00199999998"/>
    <n v="1329"/>
    <n v="942"/>
    <n v="350587"/>
    <n v="445.43416252821669"/>
    <n v="-0.15064521124928698"/>
    <n v="-0.10879848628193001"/>
  </r>
  <r>
    <x v="5"/>
    <n v="597833.38"/>
    <n v="1377"/>
    <n v="966"/>
    <n v="384960"/>
    <n v="434.15641249092232"/>
    <n v="9.8843849647982651E-3"/>
    <n v="2.5477707006369421E-2"/>
  </r>
  <r>
    <x v="6"/>
    <n v="636371.13"/>
    <n v="1497"/>
    <n v="1041"/>
    <n v="389872"/>
    <n v="425.09761523046092"/>
    <n v="6.4462359060646568E-2"/>
    <n v="7.7639751552795122E-2"/>
  </r>
  <r>
    <x v="7"/>
    <n v="589736.17000000004"/>
    <n v="1381"/>
    <n v="928"/>
    <n v="324632"/>
    <n v="427.03560463432297"/>
    <n v="-7.3282645615931674E-2"/>
    <n v="-0.10854947166186357"/>
  </r>
  <r>
    <x v="8"/>
    <n v="602224.6"/>
    <n v="1293"/>
    <n v="911"/>
    <n v="452542"/>
    <n v="465.75761794276872"/>
    <n v="2.1176299903734819E-2"/>
    <n v="-1.8318965517241326E-2"/>
  </r>
  <r>
    <x v="9"/>
    <n v="829013.951"/>
    <n v="1689"/>
    <n v="1145"/>
    <n v="567153"/>
    <n v="490.8312320899941"/>
    <n v="0.37658599632097389"/>
    <n v="0.25686059275521411"/>
  </r>
  <r>
    <x v="10"/>
    <n v="1033112.01"/>
    <n v="2133"/>
    <n v="1497"/>
    <n v="596432"/>
    <n v="484.34693389592127"/>
    <n v="0.2461937567562118"/>
    <n v="0.30742358078602616"/>
  </r>
  <r>
    <x v="11"/>
    <n v="1166460.0220000001"/>
    <n v="2587"/>
    <n v="1607"/>
    <n v="653068"/>
    <n v="450.89293467336688"/>
    <n v="0.12907410881807491"/>
    <n v="7.348029392117561E-2"/>
  </r>
  <r>
    <x v="12"/>
    <n v="881079.1"/>
    <n v="1400"/>
    <n v="885"/>
    <n v="468677"/>
    <n v="629.34221428571425"/>
    <n v="-0.24465555322735277"/>
    <n v="-0.44928438083385192"/>
  </r>
  <r>
    <x v="13"/>
    <n v="568101.31000000006"/>
    <n v="987"/>
    <n v="741"/>
    <n v="348473"/>
    <n v="575.58390070921996"/>
    <n v="-0.35522098980670402"/>
    <n v="-0.16271186440677965"/>
  </r>
  <r>
    <x v="14"/>
    <n v="446084.92"/>
    <n v="997"/>
    <n v="758"/>
    <n v="265027"/>
    <n v="447.4272016048144"/>
    <n v="-0.21477927942113006"/>
    <n v="2.2941970310391469E-2"/>
  </r>
  <r>
    <x v="15"/>
    <n v="594081.76"/>
    <n v="1321"/>
    <n v="974"/>
    <n v="347582"/>
    <n v="449.72124148372444"/>
    <n v="0.33176830994421436"/>
    <n v="0.28496042216358841"/>
  </r>
  <r>
    <x v="16"/>
    <n v="468374.33100000001"/>
    <n v="1149"/>
    <n v="856"/>
    <n v="291366"/>
    <n v="407.63649347258485"/>
    <n v="-0.21159954313359153"/>
    <n v="-0.12114989733059545"/>
  </r>
  <r>
    <x v="17"/>
    <n v="677355.15"/>
    <n v="1555"/>
    <n v="1056"/>
    <n v="372864"/>
    <n v="435.59816720257237"/>
    <n v="0.44618333065737548"/>
    <n v="0.23364485981308403"/>
  </r>
  <r>
    <x v="18"/>
    <n v="660046.05000000005"/>
    <n v="1393"/>
    <n v="991"/>
    <n v="363014"/>
    <n v="473.83061737257719"/>
    <n v="-2.5553950538354964E-2"/>
    <n v="-6.1553030303030276E-2"/>
  </r>
  <r>
    <x v="19"/>
    <n v="598962.90099999995"/>
    <n v="1331"/>
    <n v="949"/>
    <n v="367360"/>
    <n v="450.00969271224642"/>
    <n v="-9.2543768726439768E-2"/>
    <n v="-4.2381432896064553E-2"/>
  </r>
  <r>
    <x v="20"/>
    <n v="644051.04"/>
    <n v="1280"/>
    <n v="935"/>
    <n v="397373"/>
    <n v="503.16487500000005"/>
    <n v="7.5277014527482589E-2"/>
    <n v="-1.475237091675452E-2"/>
  </r>
  <r>
    <x v="21"/>
    <n v="950690.20200000005"/>
    <n v="1755"/>
    <n v="1266"/>
    <n v="543652"/>
    <n v="541.70381880341881"/>
    <n v="0.47611003314271483"/>
    <n v="0.35401069518716577"/>
  </r>
  <r>
    <x v="22"/>
    <n v="1035642.45"/>
    <n v="1929"/>
    <n v="1364"/>
    <n v="591543"/>
    <n v="536.88048211508556"/>
    <n v="8.9358497459301578E-2"/>
    <n v="7.7409162717219537E-2"/>
  </r>
  <r>
    <x v="23"/>
    <n v="1156205.6100000001"/>
    <n v="2657"/>
    <n v="1664"/>
    <n v="665923"/>
    <n v="435.15453895370723"/>
    <n v="0.11641388396159336"/>
    <n v="0.21994134897360706"/>
  </r>
  <r>
    <x v="24"/>
    <n v="517208.44"/>
    <n v="778"/>
    <n v="615"/>
    <n v="286778"/>
    <n v="664.79233933161959"/>
    <n v="-0.55266741873013403"/>
    <n v="-0.630408653846153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">
  <r>
    <x v="0"/>
    <x v="0"/>
    <n v="271.10000000000002"/>
    <n v="2"/>
    <n v="2"/>
    <n v="160"/>
    <n v="135.55000000000001"/>
  </r>
  <r>
    <x v="1"/>
    <x v="0"/>
    <n v="1029.6600000000001"/>
    <n v="3"/>
    <n v="3"/>
    <n v="624"/>
    <n v="343.22"/>
  </r>
  <r>
    <x v="2"/>
    <x v="0"/>
    <n v="429.39"/>
    <n v="2"/>
    <n v="2"/>
    <n v="191"/>
    <n v="214.69499999999999"/>
  </r>
  <r>
    <x v="3"/>
    <x v="0"/>
    <n v="630.95000000000005"/>
    <n v="2"/>
    <n v="2"/>
    <n v="560"/>
    <n v="315.47500000000002"/>
  </r>
  <r>
    <x v="4"/>
    <x v="0"/>
    <n v="2371.15"/>
    <n v="6"/>
    <n v="4"/>
    <n v="667"/>
    <n v="395.19166666666666"/>
  </r>
  <r>
    <x v="5"/>
    <x v="0"/>
    <n v="3214.78"/>
    <n v="3"/>
    <n v="3"/>
    <n v="2280"/>
    <n v="1071.5933333333335"/>
  </r>
  <r>
    <x v="6"/>
    <x v="0"/>
    <n v="686.12"/>
    <n v="3"/>
    <n v="2"/>
    <n v="224"/>
    <n v="228.70666666666668"/>
  </r>
  <r>
    <x v="7"/>
    <x v="0"/>
    <n v="176"/>
    <n v="1"/>
    <n v="1"/>
    <n v="88"/>
    <n v="176"/>
  </r>
  <r>
    <x v="8"/>
    <x v="0"/>
    <n v="785.83"/>
    <n v="2"/>
    <n v="2"/>
    <n v="293"/>
    <n v="392.91500000000002"/>
  </r>
  <r>
    <x v="9"/>
    <x v="0"/>
    <n v="2989.15"/>
    <n v="9"/>
    <n v="8"/>
    <n v="1881"/>
    <n v="332.12777777777779"/>
  </r>
  <r>
    <x v="10"/>
    <x v="0"/>
    <n v="18245.52"/>
    <n v="5"/>
    <n v="4"/>
    <n v="12900"/>
    <n v="3649.1040000000003"/>
  </r>
  <r>
    <x v="11"/>
    <x v="0"/>
    <n v="1582.5"/>
    <n v="3"/>
    <n v="2"/>
    <n v="778"/>
    <n v="527.5"/>
  </r>
  <r>
    <x v="12"/>
    <x v="0"/>
    <n v="9017.7100000000009"/>
    <n v="9"/>
    <n v="7"/>
    <n v="5644"/>
    <n v="1001.9677777777779"/>
  </r>
  <r>
    <x v="13"/>
    <x v="0"/>
    <n v="14695.42"/>
    <n v="5"/>
    <n v="4"/>
    <n v="8680"/>
    <n v="2939.0839999999998"/>
  </r>
  <r>
    <x v="14"/>
    <x v="0"/>
    <n v="17223.990000000002"/>
    <n v="3"/>
    <n v="3"/>
    <n v="10439"/>
    <n v="5741.3300000000008"/>
  </r>
  <r>
    <x v="15"/>
    <x v="0"/>
    <n v="771.6"/>
    <n v="2"/>
    <n v="2"/>
    <n v="225"/>
    <n v="385.8"/>
  </r>
  <r>
    <x v="16"/>
    <x v="0"/>
    <n v="13638.41"/>
    <n v="4"/>
    <n v="2"/>
    <n v="8999"/>
    <n v="3409.6025"/>
  </r>
  <r>
    <x v="17"/>
    <x v="0"/>
    <n v="25187.77"/>
    <n v="4"/>
    <n v="2"/>
    <n v="15981"/>
    <n v="6296.9425000000001"/>
  </r>
  <r>
    <x v="18"/>
    <x v="0"/>
    <n v="4964.38"/>
    <n v="7"/>
    <n v="3"/>
    <n v="5318"/>
    <n v="709.19714285714292"/>
  </r>
  <r>
    <x v="19"/>
    <x v="0"/>
    <n v="22489.200000000001"/>
    <n v="2"/>
    <n v="2"/>
    <n v="12570"/>
    <n v="11244.6"/>
  </r>
  <r>
    <x v="20"/>
    <x v="0"/>
    <n v="5106.7300000000005"/>
    <n v="8"/>
    <n v="6"/>
    <n v="4079"/>
    <n v="638.34125000000006"/>
  </r>
  <r>
    <x v="21"/>
    <x v="0"/>
    <n v="17150.53"/>
    <n v="4"/>
    <n v="2"/>
    <n v="7401"/>
    <n v="4287.6324999999997"/>
  </r>
  <r>
    <x v="22"/>
    <x v="0"/>
    <n v="7242.72"/>
    <n v="6"/>
    <n v="3"/>
    <n v="4098"/>
    <n v="1207.1200000000001"/>
  </r>
  <r>
    <x v="0"/>
    <x v="1"/>
    <n v="1998.3400000000001"/>
    <n v="2"/>
    <n v="2"/>
    <n v="564"/>
    <n v="999.17000000000007"/>
  </r>
  <r>
    <x v="1"/>
    <x v="1"/>
    <n v="1118.8600000000001"/>
    <n v="3"/>
    <n v="3"/>
    <n v="480"/>
    <n v="372.95333333333338"/>
  </r>
  <r>
    <x v="2"/>
    <x v="1"/>
    <n v="925.13"/>
    <n v="5"/>
    <n v="4"/>
    <n v="401"/>
    <n v="185.02600000000001"/>
  </r>
  <r>
    <x v="3"/>
    <x v="1"/>
    <n v="1388.54"/>
    <n v="1"/>
    <n v="1"/>
    <n v="798"/>
    <n v="1388.54"/>
  </r>
  <r>
    <x v="4"/>
    <x v="1"/>
    <n v="622.04"/>
    <n v="1"/>
    <n v="1"/>
    <n v="655"/>
    <n v="622.04"/>
  </r>
  <r>
    <x v="5"/>
    <x v="1"/>
    <n v="268.10000000000002"/>
    <n v="1"/>
    <n v="1"/>
    <n v="281"/>
    <n v="268.10000000000002"/>
  </r>
  <r>
    <x v="7"/>
    <x v="1"/>
    <n v="1043.1500000000001"/>
    <n v="1"/>
    <n v="1"/>
    <n v="689"/>
    <n v="1043.1500000000001"/>
  </r>
  <r>
    <x v="8"/>
    <x v="1"/>
    <n v="1940.17"/>
    <n v="5"/>
    <n v="3"/>
    <n v="1217"/>
    <n v="388.03399999999999"/>
  </r>
  <r>
    <x v="9"/>
    <x v="1"/>
    <n v="1236.7"/>
    <n v="4"/>
    <n v="3"/>
    <n v="351"/>
    <n v="309.17500000000001"/>
  </r>
  <r>
    <x v="10"/>
    <x v="1"/>
    <n v="2873.3"/>
    <n v="5"/>
    <n v="4"/>
    <n v="1261"/>
    <n v="574.66000000000008"/>
  </r>
  <r>
    <x v="11"/>
    <x v="1"/>
    <n v="277.2"/>
    <n v="1"/>
    <n v="1"/>
    <n v="51"/>
    <n v="277.2"/>
  </r>
  <r>
    <x v="13"/>
    <x v="1"/>
    <n v="518.36"/>
    <n v="2"/>
    <n v="2"/>
    <n v="342"/>
    <n v="259.18"/>
  </r>
  <r>
    <x v="14"/>
    <x v="1"/>
    <n v="1708.12"/>
    <n v="2"/>
    <n v="2"/>
    <n v="982"/>
    <n v="854.06"/>
  </r>
  <r>
    <x v="15"/>
    <x v="1"/>
    <n v="680.78"/>
    <n v="2"/>
    <n v="2"/>
    <n v="311"/>
    <n v="340.39"/>
  </r>
  <r>
    <x v="16"/>
    <x v="1"/>
    <n v="1249.43"/>
    <n v="2"/>
    <n v="2"/>
    <n v="476"/>
    <n v="624.71500000000003"/>
  </r>
  <r>
    <x v="18"/>
    <x v="1"/>
    <n v="1191.95"/>
    <n v="2"/>
    <n v="2"/>
    <n v="573"/>
    <n v="595.97500000000002"/>
  </r>
  <r>
    <x v="19"/>
    <x v="1"/>
    <n v="1516.08"/>
    <n v="2"/>
    <n v="2"/>
    <n v="790"/>
    <n v="758.04"/>
  </r>
  <r>
    <x v="21"/>
    <x v="1"/>
    <n v="1043.78"/>
    <n v="1"/>
    <n v="1"/>
    <n v="491"/>
    <n v="1043.78"/>
  </r>
  <r>
    <x v="22"/>
    <x v="1"/>
    <n v="1329.78"/>
    <n v="2"/>
    <n v="2"/>
    <n v="717"/>
    <n v="664.89"/>
  </r>
  <r>
    <x v="23"/>
    <x v="1"/>
    <n v="683.2"/>
    <n v="1"/>
    <n v="1"/>
    <n v="148"/>
    <n v="683.2"/>
  </r>
  <r>
    <x v="4"/>
    <x v="2"/>
    <n v="488.21000000000004"/>
    <n v="1"/>
    <n v="1"/>
    <n v="303"/>
    <n v="488.21000000000004"/>
  </r>
  <r>
    <x v="9"/>
    <x v="2"/>
    <n v="317.76"/>
    <n v="1"/>
    <n v="1"/>
    <n v="192"/>
    <n v="317.76"/>
  </r>
  <r>
    <x v="16"/>
    <x v="2"/>
    <n v="548.4"/>
    <n v="2"/>
    <n v="2"/>
    <n v="260"/>
    <n v="274.2"/>
  </r>
  <r>
    <x v="0"/>
    <x v="3"/>
    <n v="447.6"/>
    <n v="3"/>
    <n v="2"/>
    <n v="153"/>
    <n v="149.20000000000002"/>
  </r>
  <r>
    <x v="24"/>
    <x v="3"/>
    <n v="1634.02"/>
    <n v="4"/>
    <n v="3"/>
    <n v="717"/>
    <n v="408.505"/>
  </r>
  <r>
    <x v="1"/>
    <x v="3"/>
    <n v="3209"/>
    <n v="3"/>
    <n v="2"/>
    <n v="704"/>
    <n v="1069.6666666666667"/>
  </r>
  <r>
    <x v="2"/>
    <x v="3"/>
    <n v="884.52"/>
    <n v="3"/>
    <n v="3"/>
    <n v="481"/>
    <n v="294.83999999999997"/>
  </r>
  <r>
    <x v="3"/>
    <x v="3"/>
    <n v="2570.39"/>
    <n v="4"/>
    <n v="4"/>
    <n v="1445"/>
    <n v="642.59749999999997"/>
  </r>
  <r>
    <x v="4"/>
    <x v="3"/>
    <n v="98.15"/>
    <n v="1"/>
    <n v="1"/>
    <n v="38"/>
    <n v="98.15"/>
  </r>
  <r>
    <x v="5"/>
    <x v="3"/>
    <n v="3800.34"/>
    <n v="6"/>
    <n v="4"/>
    <n v="1588"/>
    <n v="633.39"/>
  </r>
  <r>
    <x v="6"/>
    <x v="3"/>
    <n v="1914.23"/>
    <n v="7"/>
    <n v="6"/>
    <n v="1393"/>
    <n v="273.4614285714286"/>
  </r>
  <r>
    <x v="7"/>
    <x v="3"/>
    <n v="1713.62"/>
    <n v="3"/>
    <n v="3"/>
    <n v="954"/>
    <n v="571.20666666666659"/>
  </r>
  <r>
    <x v="8"/>
    <x v="3"/>
    <n v="1190.9100000000001"/>
    <n v="5"/>
    <n v="5"/>
    <n v="651"/>
    <n v="238.18200000000002"/>
  </r>
  <r>
    <x v="9"/>
    <x v="3"/>
    <n v="1475.72"/>
    <n v="5"/>
    <n v="4"/>
    <n v="664"/>
    <n v="295.14400000000001"/>
  </r>
  <r>
    <x v="10"/>
    <x v="3"/>
    <n v="5252.9800000000005"/>
    <n v="7"/>
    <n v="7"/>
    <n v="2743"/>
    <n v="750.42571428571432"/>
  </r>
  <r>
    <x v="11"/>
    <x v="3"/>
    <n v="2156.0100000000002"/>
    <n v="5"/>
    <n v="4"/>
    <n v="2283"/>
    <n v="431.20200000000006"/>
  </r>
  <r>
    <x v="12"/>
    <x v="3"/>
    <n v="1200.2"/>
    <n v="3"/>
    <n v="3"/>
    <n v="792"/>
    <n v="400.06666666666666"/>
  </r>
  <r>
    <x v="13"/>
    <x v="3"/>
    <n v="2181.0700000000002"/>
    <n v="8"/>
    <n v="7"/>
    <n v="1102"/>
    <n v="272.63375000000002"/>
  </r>
  <r>
    <x v="14"/>
    <x v="3"/>
    <n v="3351.98"/>
    <n v="9"/>
    <n v="8"/>
    <n v="1783"/>
    <n v="372.4422222222222"/>
  </r>
  <r>
    <x v="15"/>
    <x v="3"/>
    <n v="1989.48"/>
    <n v="6"/>
    <n v="6"/>
    <n v="1183"/>
    <n v="331.58"/>
  </r>
  <r>
    <x v="16"/>
    <x v="3"/>
    <n v="2732.4"/>
    <n v="9"/>
    <n v="7"/>
    <n v="1829"/>
    <n v="303.60000000000002"/>
  </r>
  <r>
    <x v="17"/>
    <x v="3"/>
    <n v="4274.82"/>
    <n v="11"/>
    <n v="11"/>
    <n v="2245"/>
    <n v="388.61999999999995"/>
  </r>
  <r>
    <x v="18"/>
    <x v="3"/>
    <n v="2475.5700000000002"/>
    <n v="5"/>
    <n v="4"/>
    <n v="1679"/>
    <n v="495.11400000000003"/>
  </r>
  <r>
    <x v="19"/>
    <x v="3"/>
    <n v="3554.02"/>
    <n v="9"/>
    <n v="8"/>
    <n v="2069"/>
    <n v="394.89111111111112"/>
  </r>
  <r>
    <x v="20"/>
    <x v="3"/>
    <n v="4208.0200000000004"/>
    <n v="7"/>
    <n v="7"/>
    <n v="1969"/>
    <n v="601.14571428571435"/>
  </r>
  <r>
    <x v="21"/>
    <x v="3"/>
    <n v="5685.38"/>
    <n v="11"/>
    <n v="9"/>
    <n v="3170"/>
    <n v="516.85272727272729"/>
  </r>
  <r>
    <x v="22"/>
    <x v="3"/>
    <n v="6315.76"/>
    <n v="11"/>
    <n v="8"/>
    <n v="2560"/>
    <n v="574.16"/>
  </r>
  <r>
    <x v="23"/>
    <x v="3"/>
    <n v="1417.73"/>
    <n v="4"/>
    <n v="4"/>
    <n v="1101"/>
    <n v="354.4325"/>
  </r>
  <r>
    <x v="8"/>
    <x v="4"/>
    <n v="268.27"/>
    <n v="1"/>
    <n v="1"/>
    <n v="189"/>
    <n v="268.27"/>
  </r>
  <r>
    <x v="15"/>
    <x v="4"/>
    <n v="1143.5999999999999"/>
    <n v="1"/>
    <n v="1"/>
    <n v="356"/>
    <n v="1143.5999999999999"/>
  </r>
  <r>
    <x v="9"/>
    <x v="5"/>
    <n v="834.89"/>
    <n v="1"/>
    <n v="1"/>
    <n v="671"/>
    <n v="834.89"/>
  </r>
  <r>
    <x v="10"/>
    <x v="5"/>
    <n v="381.77000000000004"/>
    <n v="1"/>
    <n v="1"/>
    <n v="223"/>
    <n v="381.77000000000004"/>
  </r>
  <r>
    <x v="14"/>
    <x v="5"/>
    <n v="140.54"/>
    <n v="1"/>
    <n v="1"/>
    <n v="88"/>
    <n v="140.54"/>
  </r>
  <r>
    <x v="16"/>
    <x v="5"/>
    <n v="534.24"/>
    <n v="1"/>
    <n v="1"/>
    <n v="504"/>
    <n v="534.24"/>
  </r>
  <r>
    <x v="17"/>
    <x v="5"/>
    <n v="1171.46"/>
    <n v="1"/>
    <n v="1"/>
    <n v="1092"/>
    <n v="1171.46"/>
  </r>
  <r>
    <x v="18"/>
    <x v="5"/>
    <n v="1768.58"/>
    <n v="2"/>
    <n v="1"/>
    <n v="1027"/>
    <n v="884.29"/>
  </r>
  <r>
    <x v="19"/>
    <x v="5"/>
    <n v="51.559999999999995"/>
    <n v="1"/>
    <n v="1"/>
    <n v="52"/>
    <n v="51.559999999999995"/>
  </r>
  <r>
    <x v="0"/>
    <x v="6"/>
    <n v="989.18"/>
    <n v="1"/>
    <n v="1"/>
    <n v="439"/>
    <n v="989.18"/>
  </r>
  <r>
    <x v="24"/>
    <x v="6"/>
    <n v="838.75"/>
    <n v="1"/>
    <n v="1"/>
    <n v="193"/>
    <n v="838.75"/>
  </r>
  <r>
    <x v="2"/>
    <x v="6"/>
    <n v="1065.1199999999999"/>
    <n v="1"/>
    <n v="1"/>
    <n v="996"/>
    <n v="1065.1199999999999"/>
  </r>
  <r>
    <x v="3"/>
    <x v="6"/>
    <n v="926.82"/>
    <n v="1"/>
    <n v="1"/>
    <n v="367"/>
    <n v="926.82"/>
  </r>
  <r>
    <x v="4"/>
    <x v="6"/>
    <n v="5378.52"/>
    <n v="6"/>
    <n v="4"/>
    <n v="2403"/>
    <n v="896.42000000000007"/>
  </r>
  <r>
    <x v="5"/>
    <x v="6"/>
    <n v="845"/>
    <n v="1"/>
    <n v="1"/>
    <n v="500"/>
    <n v="845"/>
  </r>
  <r>
    <x v="7"/>
    <x v="6"/>
    <n v="1363.14"/>
    <n v="2"/>
    <n v="2"/>
    <n v="662"/>
    <n v="681.57"/>
  </r>
  <r>
    <x v="8"/>
    <x v="6"/>
    <n v="6156.34"/>
    <n v="9"/>
    <n v="5"/>
    <n v="3341"/>
    <n v="684.03777777777782"/>
  </r>
  <r>
    <x v="9"/>
    <x v="6"/>
    <n v="4341.1899999999996"/>
    <n v="4"/>
    <n v="3"/>
    <n v="1899"/>
    <n v="1085.2974999999999"/>
  </r>
  <r>
    <x v="10"/>
    <x v="6"/>
    <n v="2278.73"/>
    <n v="3"/>
    <n v="3"/>
    <n v="1111"/>
    <n v="759.57666666666671"/>
  </r>
  <r>
    <x v="11"/>
    <x v="6"/>
    <n v="727.06"/>
    <n v="1"/>
    <n v="1"/>
    <n v="160"/>
    <n v="727.06"/>
  </r>
  <r>
    <x v="12"/>
    <x v="6"/>
    <n v="675.58"/>
    <n v="1"/>
    <n v="1"/>
    <n v="259"/>
    <n v="675.58"/>
  </r>
  <r>
    <x v="13"/>
    <x v="6"/>
    <n v="1784.71"/>
    <n v="1"/>
    <n v="1"/>
    <n v="935"/>
    <n v="1784.71"/>
  </r>
  <r>
    <x v="14"/>
    <x v="6"/>
    <n v="3509.33"/>
    <n v="3"/>
    <n v="3"/>
    <n v="2104"/>
    <n v="1169.7766666666666"/>
  </r>
  <r>
    <x v="15"/>
    <x v="6"/>
    <n v="293"/>
    <n v="1"/>
    <n v="1"/>
    <n v="97"/>
    <n v="293"/>
  </r>
  <r>
    <x v="16"/>
    <x v="6"/>
    <n v="1207.24"/>
    <n v="2"/>
    <n v="2"/>
    <n v="224"/>
    <n v="603.62"/>
  </r>
  <r>
    <x v="17"/>
    <x v="6"/>
    <n v="2060.0299999999997"/>
    <n v="1"/>
    <n v="1"/>
    <n v="836"/>
    <n v="2060.0299999999997"/>
  </r>
  <r>
    <x v="19"/>
    <x v="6"/>
    <n v="4886.88"/>
    <n v="5"/>
    <n v="4"/>
    <n v="2003"/>
    <n v="977.37599999999998"/>
  </r>
  <r>
    <x v="20"/>
    <x v="6"/>
    <n v="1323.75"/>
    <n v="2"/>
    <n v="2"/>
    <n v="764"/>
    <n v="661.875"/>
  </r>
  <r>
    <x v="21"/>
    <x v="6"/>
    <n v="2623.32"/>
    <n v="5"/>
    <n v="2"/>
    <n v="1407"/>
    <n v="524.66399999999999"/>
  </r>
  <r>
    <x v="22"/>
    <x v="6"/>
    <n v="1514.77"/>
    <n v="3"/>
    <n v="2"/>
    <n v="716"/>
    <n v="504.92333333333335"/>
  </r>
  <r>
    <x v="23"/>
    <x v="6"/>
    <n v="198.4"/>
    <n v="1"/>
    <n v="1"/>
    <n v="60"/>
    <n v="198.4"/>
  </r>
  <r>
    <x v="0"/>
    <x v="7"/>
    <n v="3541.6800000000003"/>
    <n v="4"/>
    <n v="3"/>
    <n v="1572"/>
    <n v="885.42000000000007"/>
  </r>
  <r>
    <x v="24"/>
    <x v="7"/>
    <n v="76.52000000000001"/>
    <n v="1"/>
    <n v="1"/>
    <n v="32"/>
    <n v="76.52000000000001"/>
  </r>
  <r>
    <x v="1"/>
    <x v="7"/>
    <n v="750.49"/>
    <n v="2"/>
    <n v="1"/>
    <n v="294"/>
    <n v="375.245"/>
  </r>
  <r>
    <x v="2"/>
    <x v="7"/>
    <n v="2879.19"/>
    <n v="5"/>
    <n v="4"/>
    <n v="1055"/>
    <n v="575.83799999999997"/>
  </r>
  <r>
    <x v="3"/>
    <x v="7"/>
    <n v="1151.7"/>
    <n v="2"/>
    <n v="1"/>
    <n v="459"/>
    <n v="575.85"/>
  </r>
  <r>
    <x v="4"/>
    <x v="7"/>
    <n v="515.61"/>
    <n v="1"/>
    <n v="1"/>
    <n v="144"/>
    <n v="515.61"/>
  </r>
  <r>
    <x v="5"/>
    <x v="7"/>
    <n v="489.8"/>
    <n v="1"/>
    <n v="1"/>
    <n v="100"/>
    <n v="489.8"/>
  </r>
  <r>
    <x v="8"/>
    <x v="7"/>
    <n v="993.18000000000006"/>
    <n v="3"/>
    <n v="3"/>
    <n v="493"/>
    <n v="331.06"/>
  </r>
  <r>
    <x v="9"/>
    <x v="7"/>
    <n v="551.33000000000004"/>
    <n v="1"/>
    <n v="1"/>
    <n v="253"/>
    <n v="551.33000000000004"/>
  </r>
  <r>
    <x v="10"/>
    <x v="7"/>
    <n v="397.59999999999997"/>
    <n v="1"/>
    <n v="1"/>
    <n v="208"/>
    <n v="397.59999999999997"/>
  </r>
  <r>
    <x v="11"/>
    <x v="7"/>
    <n v="1587.07"/>
    <n v="1"/>
    <n v="1"/>
    <n v="916"/>
    <n v="1587.07"/>
  </r>
  <r>
    <x v="12"/>
    <x v="7"/>
    <n v="547.5"/>
    <n v="1"/>
    <n v="1"/>
    <n v="144"/>
    <n v="547.5"/>
  </r>
  <r>
    <x v="13"/>
    <x v="7"/>
    <n v="4334.24"/>
    <n v="6"/>
    <n v="4"/>
    <n v="2191"/>
    <n v="722.37333333333333"/>
  </r>
  <r>
    <x v="14"/>
    <x v="7"/>
    <n v="938.39"/>
    <n v="1"/>
    <n v="1"/>
    <n v="1005"/>
    <n v="938.39"/>
  </r>
  <r>
    <x v="17"/>
    <x v="7"/>
    <n v="1109.32"/>
    <n v="1"/>
    <n v="1"/>
    <n v="356"/>
    <n v="1109.32"/>
  </r>
  <r>
    <x v="20"/>
    <x v="7"/>
    <n v="196.35"/>
    <n v="1"/>
    <n v="1"/>
    <n v="33"/>
    <n v="196.35"/>
  </r>
  <r>
    <x v="21"/>
    <x v="7"/>
    <n v="4350.32"/>
    <n v="4"/>
    <n v="4"/>
    <n v="1402"/>
    <n v="1087.58"/>
  </r>
  <r>
    <x v="22"/>
    <x v="7"/>
    <n v="439.66"/>
    <n v="1"/>
    <n v="1"/>
    <n v="293"/>
    <n v="439.66"/>
  </r>
  <r>
    <x v="13"/>
    <x v="8"/>
    <n v="549.26"/>
    <n v="1"/>
    <n v="1"/>
    <n v="346"/>
    <n v="549.26"/>
  </r>
  <r>
    <x v="21"/>
    <x v="8"/>
    <n v="277.48"/>
    <n v="1"/>
    <n v="1"/>
    <n v="325"/>
    <n v="277.48"/>
  </r>
  <r>
    <x v="0"/>
    <x v="9"/>
    <n v="1437.66"/>
    <n v="2"/>
    <n v="2"/>
    <n v="574"/>
    <n v="718.83"/>
  </r>
  <r>
    <x v="24"/>
    <x v="9"/>
    <n v="7870.6"/>
    <n v="2"/>
    <n v="2"/>
    <n v="63754"/>
    <n v="3935.3"/>
  </r>
  <r>
    <x v="1"/>
    <x v="9"/>
    <n v="19809.899999999998"/>
    <n v="2"/>
    <n v="1"/>
    <n v="93230"/>
    <n v="9904.9499999999989"/>
  </r>
  <r>
    <x v="2"/>
    <x v="9"/>
    <n v="7595.18"/>
    <n v="2"/>
    <n v="2"/>
    <n v="64302"/>
    <n v="3797.59"/>
  </r>
  <r>
    <x v="3"/>
    <x v="9"/>
    <n v="748"/>
    <n v="1"/>
    <n v="1"/>
    <n v="576"/>
    <n v="748"/>
  </r>
  <r>
    <x v="5"/>
    <x v="9"/>
    <n v="2695.5099999999998"/>
    <n v="4"/>
    <n v="3"/>
    <n v="1887"/>
    <n v="673.87749999999994"/>
  </r>
  <r>
    <x v="6"/>
    <x v="9"/>
    <n v="591.66000000000008"/>
    <n v="1"/>
    <n v="1"/>
    <n v="164"/>
    <n v="591.66000000000008"/>
  </r>
  <r>
    <x v="7"/>
    <x v="9"/>
    <n v="2643.03"/>
    <n v="3"/>
    <n v="3"/>
    <n v="1520"/>
    <n v="881.0100000000001"/>
  </r>
  <r>
    <x v="8"/>
    <x v="9"/>
    <n v="1725.25"/>
    <n v="3"/>
    <n v="2"/>
    <n v="1307"/>
    <n v="575.08333333333337"/>
  </r>
  <r>
    <x v="9"/>
    <x v="9"/>
    <n v="448.6"/>
    <n v="2"/>
    <n v="2"/>
    <n v="169"/>
    <n v="224.3"/>
  </r>
  <r>
    <x v="10"/>
    <x v="9"/>
    <n v="4059.96"/>
    <n v="3"/>
    <n v="3"/>
    <n v="1753"/>
    <n v="1353.32"/>
  </r>
  <r>
    <x v="11"/>
    <x v="9"/>
    <n v="2563"/>
    <n v="1"/>
    <n v="1"/>
    <n v="908"/>
    <n v="2563"/>
  </r>
  <r>
    <x v="13"/>
    <x v="9"/>
    <n v="399.22"/>
    <n v="1"/>
    <n v="1"/>
    <n v="224"/>
    <n v="399.22"/>
  </r>
  <r>
    <x v="14"/>
    <x v="9"/>
    <n v="3978.9900000000002"/>
    <n v="1"/>
    <n v="1"/>
    <n v="879"/>
    <n v="3978.9900000000002"/>
  </r>
  <r>
    <x v="16"/>
    <x v="9"/>
    <n v="515.70000000000005"/>
    <n v="1"/>
    <n v="1"/>
    <n v="368"/>
    <n v="515.70000000000005"/>
  </r>
  <r>
    <x v="17"/>
    <x v="9"/>
    <n v="3261.15"/>
    <n v="3"/>
    <n v="3"/>
    <n v="1544"/>
    <n v="1087.05"/>
  </r>
  <r>
    <x v="18"/>
    <x v="9"/>
    <n v="376.24"/>
    <n v="1"/>
    <n v="1"/>
    <n v="241"/>
    <n v="376.24"/>
  </r>
  <r>
    <x v="19"/>
    <x v="9"/>
    <n v="213.15"/>
    <n v="1"/>
    <n v="1"/>
    <n v="338"/>
    <n v="213.15"/>
  </r>
  <r>
    <x v="20"/>
    <x v="9"/>
    <n v="4570.16"/>
    <n v="3"/>
    <n v="3"/>
    <n v="1608"/>
    <n v="1523.3866666666665"/>
  </r>
  <r>
    <x v="21"/>
    <x v="9"/>
    <n v="1490.76"/>
    <n v="3"/>
    <n v="3"/>
    <n v="869"/>
    <n v="496.92"/>
  </r>
  <r>
    <x v="22"/>
    <x v="9"/>
    <n v="2699.57"/>
    <n v="2"/>
    <n v="2"/>
    <n v="1537"/>
    <n v="1349.7850000000001"/>
  </r>
  <r>
    <x v="23"/>
    <x v="9"/>
    <n v="168.9"/>
    <n v="1"/>
    <n v="1"/>
    <n v="173"/>
    <n v="168.9"/>
  </r>
  <r>
    <x v="0"/>
    <x v="10"/>
    <n v="18170.46"/>
    <n v="16"/>
    <n v="2"/>
    <n v="8615"/>
    <n v="1135.6537499999999"/>
  </r>
  <r>
    <x v="24"/>
    <x v="10"/>
    <n v="65031.41"/>
    <n v="30"/>
    <n v="5"/>
    <n v="30807"/>
    <n v="2167.713666666667"/>
  </r>
  <r>
    <x v="1"/>
    <x v="10"/>
    <n v="20206.46"/>
    <n v="17"/>
    <n v="3"/>
    <n v="11249"/>
    <n v="1188.615294117647"/>
  </r>
  <r>
    <x v="2"/>
    <x v="10"/>
    <n v="22989.46"/>
    <n v="27"/>
    <n v="3"/>
    <n v="14797"/>
    <n v="851.46148148148143"/>
  </r>
  <r>
    <x v="3"/>
    <x v="10"/>
    <n v="20668.080000000002"/>
    <n v="16"/>
    <n v="3"/>
    <n v="11962"/>
    <n v="1291.7550000000001"/>
  </r>
  <r>
    <x v="4"/>
    <x v="10"/>
    <n v="18430.91"/>
    <n v="18"/>
    <n v="2"/>
    <n v="9401"/>
    <n v="1023.9394444444445"/>
  </r>
  <r>
    <x v="5"/>
    <x v="10"/>
    <n v="22934.34"/>
    <n v="24"/>
    <n v="2"/>
    <n v="12306"/>
    <n v="955.59749999999997"/>
  </r>
  <r>
    <x v="6"/>
    <x v="10"/>
    <n v="31987.23"/>
    <n v="22"/>
    <n v="3"/>
    <n v="13700"/>
    <n v="1453.9649999999999"/>
  </r>
  <r>
    <x v="7"/>
    <x v="10"/>
    <n v="22919.360000000001"/>
    <n v="23"/>
    <n v="3"/>
    <n v="14510"/>
    <n v="996.4939130434783"/>
  </r>
  <r>
    <x v="8"/>
    <x v="10"/>
    <n v="36322.78"/>
    <n v="34"/>
    <n v="2"/>
    <n v="19815"/>
    <n v="1068.3170588235294"/>
  </r>
  <r>
    <x v="9"/>
    <x v="10"/>
    <n v="43929.86"/>
    <n v="43"/>
    <n v="2"/>
    <n v="17302"/>
    <n v="1021.6246511627907"/>
  </r>
  <r>
    <x v="10"/>
    <x v="10"/>
    <n v="27717.73"/>
    <n v="37"/>
    <n v="3"/>
    <n v="13424"/>
    <n v="749.12783783783777"/>
  </r>
  <r>
    <x v="11"/>
    <x v="10"/>
    <n v="13547.66"/>
    <n v="15"/>
    <n v="3"/>
    <n v="8768"/>
    <n v="903.17733333333331"/>
  </r>
  <r>
    <x v="12"/>
    <x v="10"/>
    <n v="21904.19"/>
    <n v="7"/>
    <n v="2"/>
    <n v="8794"/>
    <n v="3129.1699999999996"/>
  </r>
  <r>
    <x v="13"/>
    <x v="10"/>
    <n v="10111.52"/>
    <n v="9"/>
    <n v="2"/>
    <n v="4953"/>
    <n v="1123.5022222222224"/>
  </r>
  <r>
    <x v="14"/>
    <x v="10"/>
    <n v="21674.36"/>
    <n v="22"/>
    <n v="3"/>
    <n v="9246"/>
    <n v="985.19818181818187"/>
  </r>
  <r>
    <x v="15"/>
    <x v="10"/>
    <n v="7570.5"/>
    <n v="11"/>
    <n v="2"/>
    <n v="4135"/>
    <n v="688.22727272727275"/>
  </r>
  <r>
    <x v="16"/>
    <x v="10"/>
    <n v="15977.15"/>
    <n v="18"/>
    <n v="3"/>
    <n v="7239"/>
    <n v="887.61944444444441"/>
  </r>
  <r>
    <x v="17"/>
    <x v="10"/>
    <n v="19835.990000000002"/>
    <n v="24"/>
    <n v="2"/>
    <n v="12182"/>
    <n v="826.49958333333336"/>
  </r>
  <r>
    <x v="18"/>
    <x v="10"/>
    <n v="40854.15"/>
    <n v="22"/>
    <n v="3"/>
    <n v="21253"/>
    <n v="1857.0068181818183"/>
  </r>
  <r>
    <x v="19"/>
    <x v="10"/>
    <n v="16957.830000000002"/>
    <n v="17"/>
    <n v="2"/>
    <n v="9086"/>
    <n v="997.51941176470598"/>
  </r>
  <r>
    <x v="20"/>
    <x v="10"/>
    <n v="40832.639999999999"/>
    <n v="36"/>
    <n v="2"/>
    <n v="22033"/>
    <n v="1134.24"/>
  </r>
  <r>
    <x v="21"/>
    <x v="10"/>
    <n v="24302.920000000002"/>
    <n v="31"/>
    <n v="2"/>
    <n v="15900"/>
    <n v="783.96516129032261"/>
  </r>
  <r>
    <x v="22"/>
    <x v="10"/>
    <n v="29448.41"/>
    <n v="39"/>
    <n v="2"/>
    <n v="16123"/>
    <n v="755.08743589743585"/>
  </r>
  <r>
    <x v="23"/>
    <x v="10"/>
    <n v="6978.92"/>
    <n v="9"/>
    <n v="1"/>
    <n v="3946"/>
    <n v="775.43555555555554"/>
  </r>
  <r>
    <x v="15"/>
    <x v="11"/>
    <n v="191.4"/>
    <n v="1"/>
    <n v="1"/>
    <n v="34"/>
    <n v="191.4"/>
  </r>
  <r>
    <x v="17"/>
    <x v="11"/>
    <n v="432.05"/>
    <n v="2"/>
    <n v="1"/>
    <n v="130"/>
    <n v="216.02500000000001"/>
  </r>
  <r>
    <x v="18"/>
    <x v="11"/>
    <n v="676.8"/>
    <n v="1"/>
    <n v="1"/>
    <n v="335"/>
    <n v="676.8"/>
  </r>
  <r>
    <x v="0"/>
    <x v="12"/>
    <n v="549.08000000000004"/>
    <n v="1"/>
    <n v="1"/>
    <n v="134"/>
    <n v="549.08000000000004"/>
  </r>
  <r>
    <x v="24"/>
    <x v="12"/>
    <n v="801.42"/>
    <n v="2"/>
    <n v="2"/>
    <n v="263"/>
    <n v="400.71"/>
  </r>
  <r>
    <x v="3"/>
    <x v="12"/>
    <n v="1255.1300000000001"/>
    <n v="3"/>
    <n v="2"/>
    <n v="649"/>
    <n v="418.37666666666672"/>
  </r>
  <r>
    <x v="4"/>
    <x v="12"/>
    <n v="837.11"/>
    <n v="1"/>
    <n v="1"/>
    <n v="370"/>
    <n v="837.11"/>
  </r>
  <r>
    <x v="5"/>
    <x v="12"/>
    <n v="534.14"/>
    <n v="1"/>
    <n v="1"/>
    <n v="242"/>
    <n v="534.14"/>
  </r>
  <r>
    <x v="6"/>
    <x v="12"/>
    <n v="956.23"/>
    <n v="2"/>
    <n v="2"/>
    <n v="362"/>
    <n v="478.11500000000001"/>
  </r>
  <r>
    <x v="8"/>
    <x v="12"/>
    <n v="864.68"/>
    <n v="2"/>
    <n v="2"/>
    <n v="763"/>
    <n v="432.34"/>
  </r>
  <r>
    <x v="9"/>
    <x v="12"/>
    <n v="1166.69"/>
    <n v="2"/>
    <n v="2"/>
    <n v="675"/>
    <n v="583.34500000000003"/>
  </r>
  <r>
    <x v="10"/>
    <x v="12"/>
    <n v="414.98"/>
    <n v="2"/>
    <n v="1"/>
    <n v="213"/>
    <n v="207.49"/>
  </r>
  <r>
    <x v="11"/>
    <x v="12"/>
    <n v="892.8"/>
    <n v="1"/>
    <n v="1"/>
    <n v="1254"/>
    <n v="892.8"/>
  </r>
  <r>
    <x v="12"/>
    <x v="12"/>
    <n v="889.02"/>
    <n v="2"/>
    <n v="2"/>
    <n v="765"/>
    <n v="444.51"/>
  </r>
  <r>
    <x v="13"/>
    <x v="12"/>
    <n v="205.16"/>
    <n v="1"/>
    <n v="1"/>
    <n v="141"/>
    <n v="205.16"/>
  </r>
  <r>
    <x v="14"/>
    <x v="12"/>
    <n v="5936.82"/>
    <n v="5"/>
    <n v="1"/>
    <n v="2536"/>
    <n v="1187.364"/>
  </r>
  <r>
    <x v="15"/>
    <x v="12"/>
    <n v="1688.92"/>
    <n v="4"/>
    <n v="4"/>
    <n v="818"/>
    <n v="422.23"/>
  </r>
  <r>
    <x v="17"/>
    <x v="12"/>
    <n v="329.56"/>
    <n v="1"/>
    <n v="1"/>
    <n v="157"/>
    <n v="329.56"/>
  </r>
  <r>
    <x v="18"/>
    <x v="12"/>
    <n v="2996.73"/>
    <n v="3"/>
    <n v="3"/>
    <n v="1273"/>
    <n v="998.91"/>
  </r>
  <r>
    <x v="19"/>
    <x v="12"/>
    <n v="1376.5"/>
    <n v="3"/>
    <n v="2"/>
    <n v="693"/>
    <n v="458.83333333333331"/>
  </r>
  <r>
    <x v="20"/>
    <x v="12"/>
    <n v="1105.45"/>
    <n v="4"/>
    <n v="4"/>
    <n v="515"/>
    <n v="276.36250000000001"/>
  </r>
  <r>
    <x v="21"/>
    <x v="12"/>
    <n v="2822.12"/>
    <n v="6"/>
    <n v="5"/>
    <n v="1115"/>
    <n v="470.3533333333333"/>
  </r>
  <r>
    <x v="22"/>
    <x v="12"/>
    <n v="3070.24"/>
    <n v="8"/>
    <n v="5"/>
    <n v="1087"/>
    <n v="383.78"/>
  </r>
  <r>
    <x v="23"/>
    <x v="12"/>
    <n v="1232.76"/>
    <n v="3"/>
    <n v="3"/>
    <n v="350"/>
    <n v="410.92"/>
  </r>
  <r>
    <x v="0"/>
    <x v="13"/>
    <n v="6521.69"/>
    <n v="13"/>
    <n v="10"/>
    <n v="3688"/>
    <n v="501.66846153846149"/>
  </r>
  <r>
    <x v="24"/>
    <x v="13"/>
    <n v="8465.6299999999992"/>
    <n v="12"/>
    <n v="9"/>
    <n v="5313"/>
    <n v="705.46916666666664"/>
  </r>
  <r>
    <x v="1"/>
    <x v="13"/>
    <n v="9024.16"/>
    <n v="17"/>
    <n v="12"/>
    <n v="4996"/>
    <n v="530.83294117647063"/>
  </r>
  <r>
    <x v="2"/>
    <x v="13"/>
    <n v="8637.7900000000009"/>
    <n v="16"/>
    <n v="12"/>
    <n v="4541"/>
    <n v="539.86187500000005"/>
  </r>
  <r>
    <x v="3"/>
    <x v="13"/>
    <n v="7405.18"/>
    <n v="10"/>
    <n v="8"/>
    <n v="3985"/>
    <n v="740.51800000000003"/>
  </r>
  <r>
    <x v="4"/>
    <x v="13"/>
    <n v="13912.55"/>
    <n v="16"/>
    <n v="14"/>
    <n v="8821"/>
    <n v="869.53437499999995"/>
  </r>
  <r>
    <x v="5"/>
    <x v="13"/>
    <n v="9172.5400000000009"/>
    <n v="23"/>
    <n v="18"/>
    <n v="5709"/>
    <n v="398.80608695652177"/>
  </r>
  <r>
    <x v="6"/>
    <x v="13"/>
    <n v="11399.15"/>
    <n v="17"/>
    <n v="14"/>
    <n v="4034"/>
    <n v="670.53823529411761"/>
  </r>
  <r>
    <x v="7"/>
    <x v="13"/>
    <n v="16570.32"/>
    <n v="10"/>
    <n v="10"/>
    <n v="89914"/>
    <n v="1657.0319999999999"/>
  </r>
  <r>
    <x v="8"/>
    <x v="13"/>
    <n v="14531.33"/>
    <n v="26"/>
    <n v="16"/>
    <n v="6960"/>
    <n v="558.89730769230766"/>
  </r>
  <r>
    <x v="9"/>
    <x v="13"/>
    <n v="15207.57"/>
    <n v="28"/>
    <n v="22"/>
    <n v="9921"/>
    <n v="543.12749999999994"/>
  </r>
  <r>
    <x v="10"/>
    <x v="13"/>
    <n v="18968.740000000002"/>
    <n v="37"/>
    <n v="24"/>
    <n v="10977"/>
    <n v="512.66864864864874"/>
  </r>
  <r>
    <x v="11"/>
    <x v="13"/>
    <n v="15906.73"/>
    <n v="21"/>
    <n v="15"/>
    <n v="8178"/>
    <n v="757.46333333333337"/>
  </r>
  <r>
    <x v="12"/>
    <x v="13"/>
    <n v="17740.12"/>
    <n v="29"/>
    <n v="24"/>
    <n v="9199"/>
    <n v="611.72827586206893"/>
  </r>
  <r>
    <x v="13"/>
    <x v="13"/>
    <n v="8515.9599999999991"/>
    <n v="21"/>
    <n v="17"/>
    <n v="5340"/>
    <n v="405.52190476190469"/>
  </r>
  <r>
    <x v="14"/>
    <x v="13"/>
    <n v="14584.95"/>
    <n v="25"/>
    <n v="17"/>
    <n v="8688"/>
    <n v="583.39800000000002"/>
  </r>
  <r>
    <x v="15"/>
    <x v="13"/>
    <n v="5529.61"/>
    <n v="14"/>
    <n v="14"/>
    <n v="2287"/>
    <n v="394.97214285714284"/>
  </r>
  <r>
    <x v="16"/>
    <x v="13"/>
    <n v="17606.48"/>
    <n v="39"/>
    <n v="28"/>
    <n v="9784"/>
    <n v="451.44820512820513"/>
  </r>
  <r>
    <x v="17"/>
    <x v="13"/>
    <n v="16078.97"/>
    <n v="30"/>
    <n v="25"/>
    <n v="9578"/>
    <n v="535.96566666666661"/>
  </r>
  <r>
    <x v="18"/>
    <x v="13"/>
    <n v="10000.19"/>
    <n v="22"/>
    <n v="18"/>
    <n v="5664"/>
    <n v="454.55409090909092"/>
  </r>
  <r>
    <x v="19"/>
    <x v="13"/>
    <n v="13810.96"/>
    <n v="28"/>
    <n v="22"/>
    <n v="7958"/>
    <n v="493.24857142857138"/>
  </r>
  <r>
    <x v="20"/>
    <x v="13"/>
    <n v="23428.04"/>
    <n v="45"/>
    <n v="36"/>
    <n v="13002"/>
    <n v="520.62311111111114"/>
  </r>
  <r>
    <x v="21"/>
    <x v="13"/>
    <n v="33471.050000000003"/>
    <n v="35"/>
    <n v="27"/>
    <n v="13801"/>
    <n v="956.31571428571442"/>
  </r>
  <r>
    <x v="22"/>
    <x v="13"/>
    <n v="31274.75"/>
    <n v="62"/>
    <n v="39"/>
    <n v="17353"/>
    <n v="504.43145161290323"/>
  </r>
  <r>
    <x v="23"/>
    <x v="13"/>
    <n v="7294.92"/>
    <n v="18"/>
    <n v="17"/>
    <n v="3786"/>
    <n v="405.27333333333331"/>
  </r>
  <r>
    <x v="0"/>
    <x v="14"/>
    <n v="9830.27"/>
    <n v="18"/>
    <n v="10"/>
    <n v="4774"/>
    <n v="546.12611111111119"/>
  </r>
  <r>
    <x v="24"/>
    <x v="14"/>
    <n v="12562.11"/>
    <n v="21"/>
    <n v="13"/>
    <n v="6321"/>
    <n v="598.1957142857143"/>
  </r>
  <r>
    <x v="1"/>
    <x v="14"/>
    <n v="9124.25"/>
    <n v="27"/>
    <n v="18"/>
    <n v="4789"/>
    <n v="337.93518518518516"/>
  </r>
  <r>
    <x v="2"/>
    <x v="14"/>
    <n v="16698.080000000002"/>
    <n v="28"/>
    <n v="19"/>
    <n v="8883"/>
    <n v="596.36"/>
  </r>
  <r>
    <x v="3"/>
    <x v="14"/>
    <n v="23683.231"/>
    <n v="31"/>
    <n v="22"/>
    <n v="12557"/>
    <n v="763.9751935483871"/>
  </r>
  <r>
    <x v="4"/>
    <x v="14"/>
    <n v="9108.36"/>
    <n v="17"/>
    <n v="14"/>
    <n v="4246"/>
    <n v="535.78588235294126"/>
  </r>
  <r>
    <x v="5"/>
    <x v="14"/>
    <n v="15668.43"/>
    <n v="27"/>
    <n v="16"/>
    <n v="9314"/>
    <n v="580.3122222222222"/>
  </r>
  <r>
    <x v="6"/>
    <x v="14"/>
    <n v="20274.29"/>
    <n v="26"/>
    <n v="21"/>
    <n v="13100"/>
    <n v="779.78038461538461"/>
  </r>
  <r>
    <x v="7"/>
    <x v="14"/>
    <n v="9943.119999999999"/>
    <n v="24"/>
    <n v="16"/>
    <n v="5264"/>
    <n v="414.29666666666662"/>
  </r>
  <r>
    <x v="8"/>
    <x v="14"/>
    <n v="17708.68"/>
    <n v="32"/>
    <n v="21"/>
    <n v="9243"/>
    <n v="553.39625000000001"/>
  </r>
  <r>
    <x v="9"/>
    <x v="14"/>
    <n v="21499.98"/>
    <n v="38"/>
    <n v="30"/>
    <n v="11830"/>
    <n v="565.78894736842108"/>
  </r>
  <r>
    <x v="10"/>
    <x v="14"/>
    <n v="30240.51"/>
    <n v="43"/>
    <n v="26"/>
    <n v="15679"/>
    <n v="703.26767441860466"/>
  </r>
  <r>
    <x v="11"/>
    <x v="14"/>
    <n v="20889.82"/>
    <n v="30"/>
    <n v="18"/>
    <n v="9480"/>
    <n v="696.32733333333329"/>
  </r>
  <r>
    <x v="12"/>
    <x v="14"/>
    <n v="16880.84"/>
    <n v="31"/>
    <n v="28"/>
    <n v="9053"/>
    <n v="544.54322580645157"/>
  </r>
  <r>
    <x v="13"/>
    <x v="14"/>
    <n v="9581.0499999999993"/>
    <n v="19"/>
    <n v="17"/>
    <n v="4245"/>
    <n v="504.26578947368415"/>
  </r>
  <r>
    <x v="14"/>
    <x v="14"/>
    <n v="14392.69"/>
    <n v="32"/>
    <n v="24"/>
    <n v="7739"/>
    <n v="449.77156250000002"/>
  </r>
  <r>
    <x v="15"/>
    <x v="14"/>
    <n v="12315.54"/>
    <n v="23"/>
    <n v="19"/>
    <n v="5764"/>
    <n v="535.45826086956527"/>
  </r>
  <r>
    <x v="16"/>
    <x v="14"/>
    <n v="25734.7"/>
    <n v="42"/>
    <n v="27"/>
    <n v="12987"/>
    <n v="612.73095238095243"/>
  </r>
  <r>
    <x v="17"/>
    <x v="14"/>
    <n v="13246.35"/>
    <n v="24"/>
    <n v="21"/>
    <n v="7438"/>
    <n v="551.93124999999998"/>
  </r>
  <r>
    <x v="18"/>
    <x v="14"/>
    <n v="16440.98"/>
    <n v="33"/>
    <n v="26"/>
    <n v="9096"/>
    <n v="498.21151515151513"/>
  </r>
  <r>
    <x v="19"/>
    <x v="14"/>
    <n v="19220.77"/>
    <n v="39"/>
    <n v="29"/>
    <n v="9641"/>
    <n v="492.84025641025642"/>
  </r>
  <r>
    <x v="20"/>
    <x v="14"/>
    <n v="18079.47"/>
    <n v="41"/>
    <n v="31"/>
    <n v="11153"/>
    <n v="440.9626829268293"/>
  </r>
  <r>
    <x v="21"/>
    <x v="14"/>
    <n v="31628.42"/>
    <n v="58"/>
    <n v="38"/>
    <n v="17732"/>
    <n v="545.31758620689652"/>
  </r>
  <r>
    <x v="22"/>
    <x v="14"/>
    <n v="27967.68"/>
    <n v="68"/>
    <n v="44"/>
    <n v="13435"/>
    <n v="411.2894117647059"/>
  </r>
  <r>
    <x v="23"/>
    <x v="14"/>
    <n v="7984.17"/>
    <n v="17"/>
    <n v="12"/>
    <n v="4006"/>
    <n v="469.65705882352944"/>
  </r>
  <r>
    <x v="0"/>
    <x v="15"/>
    <n v="610.95000000000005"/>
    <n v="1"/>
    <n v="1"/>
    <n v="441"/>
    <n v="610.95000000000005"/>
  </r>
  <r>
    <x v="24"/>
    <x v="15"/>
    <n v="4798.3500000000004"/>
    <n v="3"/>
    <n v="2"/>
    <n v="1573"/>
    <n v="1599.45"/>
  </r>
  <r>
    <x v="2"/>
    <x v="15"/>
    <n v="522.73"/>
    <n v="1"/>
    <n v="1"/>
    <n v="259"/>
    <n v="522.73"/>
  </r>
  <r>
    <x v="3"/>
    <x v="15"/>
    <n v="277.93"/>
    <n v="1"/>
    <n v="1"/>
    <n v="94"/>
    <n v="277.93"/>
  </r>
  <r>
    <x v="4"/>
    <x v="15"/>
    <n v="2476.2199999999998"/>
    <n v="2"/>
    <n v="2"/>
    <n v="806"/>
    <n v="1238.1099999999999"/>
  </r>
  <r>
    <x v="5"/>
    <x v="15"/>
    <n v="302.39999999999998"/>
    <n v="1"/>
    <n v="1"/>
    <n v="120"/>
    <n v="302.39999999999998"/>
  </r>
  <r>
    <x v="7"/>
    <x v="15"/>
    <n v="721.70999999999992"/>
    <n v="1"/>
    <n v="1"/>
    <n v="561"/>
    <n v="721.70999999999992"/>
  </r>
  <r>
    <x v="8"/>
    <x v="15"/>
    <n v="780.06"/>
    <n v="1"/>
    <n v="1"/>
    <n v="146"/>
    <n v="780.06"/>
  </r>
  <r>
    <x v="9"/>
    <x v="15"/>
    <n v="3084.02"/>
    <n v="1"/>
    <n v="1"/>
    <n v="1753"/>
    <n v="3084.02"/>
  </r>
  <r>
    <x v="10"/>
    <x v="15"/>
    <n v="761.3"/>
    <n v="1"/>
    <n v="1"/>
    <n v="414"/>
    <n v="761.3"/>
  </r>
  <r>
    <x v="12"/>
    <x v="15"/>
    <n v="2661.24"/>
    <n v="1"/>
    <n v="1"/>
    <n v="526"/>
    <n v="2661.24"/>
  </r>
  <r>
    <x v="14"/>
    <x v="15"/>
    <n v="387.31"/>
    <n v="1"/>
    <n v="1"/>
    <n v="289"/>
    <n v="387.31"/>
  </r>
  <r>
    <x v="15"/>
    <x v="15"/>
    <n v="609.74"/>
    <n v="1"/>
    <n v="1"/>
    <n v="262"/>
    <n v="609.74"/>
  </r>
  <r>
    <x v="18"/>
    <x v="15"/>
    <n v="421.24"/>
    <n v="1"/>
    <n v="1"/>
    <n v="244"/>
    <n v="421.24"/>
  </r>
  <r>
    <x v="23"/>
    <x v="15"/>
    <n v="680.99"/>
    <n v="1"/>
    <n v="1"/>
    <n v="236"/>
    <n v="680.99"/>
  </r>
  <r>
    <x v="9"/>
    <x v="16"/>
    <n v="611.53"/>
    <n v="1"/>
    <n v="1"/>
    <n v="509"/>
    <n v="611.53"/>
  </r>
  <r>
    <x v="11"/>
    <x v="16"/>
    <n v="1423.58"/>
    <n v="1"/>
    <n v="1"/>
    <n v="638"/>
    <n v="1423.58"/>
  </r>
  <r>
    <x v="12"/>
    <x v="16"/>
    <n v="475.39"/>
    <n v="1"/>
    <n v="1"/>
    <n v="315"/>
    <n v="475.39"/>
  </r>
  <r>
    <x v="15"/>
    <x v="16"/>
    <n v="636.25"/>
    <n v="1"/>
    <n v="1"/>
    <n v="483"/>
    <n v="636.25"/>
  </r>
  <r>
    <x v="17"/>
    <x v="16"/>
    <n v="382.52"/>
    <n v="1"/>
    <n v="1"/>
    <n v="196"/>
    <n v="382.52"/>
  </r>
  <r>
    <x v="19"/>
    <x v="16"/>
    <n v="584.91000000000008"/>
    <n v="1"/>
    <n v="1"/>
    <n v="277"/>
    <n v="584.91000000000008"/>
  </r>
  <r>
    <x v="21"/>
    <x v="16"/>
    <n v="1294.32"/>
    <n v="1"/>
    <n v="1"/>
    <n v="676"/>
    <n v="1294.32"/>
  </r>
  <r>
    <x v="23"/>
    <x v="16"/>
    <n v="224.82"/>
    <n v="1"/>
    <n v="1"/>
    <n v="192"/>
    <n v="224.82"/>
  </r>
  <r>
    <x v="6"/>
    <x v="17"/>
    <n v="1950.98"/>
    <n v="1"/>
    <n v="1"/>
    <n v="762"/>
    <n v="1950.98"/>
  </r>
  <r>
    <x v="10"/>
    <x v="17"/>
    <n v="1248.42"/>
    <n v="1"/>
    <n v="1"/>
    <n v="370"/>
    <n v="1248.42"/>
  </r>
  <r>
    <x v="13"/>
    <x v="17"/>
    <n v="779.1"/>
    <n v="1"/>
    <n v="1"/>
    <n v="286"/>
    <n v="779.1"/>
  </r>
  <r>
    <x v="18"/>
    <x v="17"/>
    <n v="1430.75"/>
    <n v="1"/>
    <n v="1"/>
    <n v="633"/>
    <n v="1430.75"/>
  </r>
  <r>
    <x v="19"/>
    <x v="17"/>
    <n v="4873.8099999999995"/>
    <n v="1"/>
    <n v="1"/>
    <n v="3028"/>
    <n v="4873.8099999999995"/>
  </r>
  <r>
    <x v="21"/>
    <x v="17"/>
    <n v="132.18"/>
    <n v="2"/>
    <n v="1"/>
    <n v="96"/>
    <n v="66.09"/>
  </r>
  <r>
    <x v="0"/>
    <x v="18"/>
    <n v="422.35"/>
    <n v="1"/>
    <n v="1"/>
    <n v="157"/>
    <n v="422.35"/>
  </r>
  <r>
    <x v="24"/>
    <x v="18"/>
    <n v="39.67"/>
    <n v="1"/>
    <n v="1"/>
    <n v="1"/>
    <n v="39.67"/>
  </r>
  <r>
    <x v="2"/>
    <x v="18"/>
    <n v="734.22"/>
    <n v="2"/>
    <n v="2"/>
    <n v="499"/>
    <n v="367.11"/>
  </r>
  <r>
    <x v="3"/>
    <x v="18"/>
    <n v="1525.85"/>
    <n v="2"/>
    <n v="2"/>
    <n v="890"/>
    <n v="762.92499999999995"/>
  </r>
  <r>
    <x v="4"/>
    <x v="18"/>
    <n v="2373.4499999999998"/>
    <n v="4"/>
    <n v="3"/>
    <n v="1042"/>
    <n v="593.36249999999995"/>
  </r>
  <r>
    <x v="5"/>
    <x v="18"/>
    <n v="267.45"/>
    <n v="2"/>
    <n v="2"/>
    <n v="134"/>
    <n v="133.72499999999999"/>
  </r>
  <r>
    <x v="8"/>
    <x v="18"/>
    <n v="1380.56"/>
    <n v="2"/>
    <n v="2"/>
    <n v="1074"/>
    <n v="690.28"/>
  </r>
  <r>
    <x v="9"/>
    <x v="18"/>
    <n v="5208.22"/>
    <n v="7"/>
    <n v="7"/>
    <n v="2116"/>
    <n v="744.03142857142859"/>
  </r>
  <r>
    <x v="10"/>
    <x v="18"/>
    <n v="2673.16"/>
    <n v="6"/>
    <n v="5"/>
    <n v="1287"/>
    <n v="445.52666666666664"/>
  </r>
  <r>
    <x v="11"/>
    <x v="18"/>
    <n v="1239.3"/>
    <n v="2"/>
    <n v="2"/>
    <n v="459"/>
    <n v="619.65"/>
  </r>
  <r>
    <x v="12"/>
    <x v="18"/>
    <n v="2402.5100000000002"/>
    <n v="3"/>
    <n v="3"/>
    <n v="1121"/>
    <n v="800.8366666666667"/>
  </r>
  <r>
    <x v="13"/>
    <x v="18"/>
    <n v="256"/>
    <n v="1"/>
    <n v="1"/>
    <n v="111"/>
    <n v="256"/>
  </r>
  <r>
    <x v="14"/>
    <x v="18"/>
    <n v="1806.81"/>
    <n v="4"/>
    <n v="3"/>
    <n v="688"/>
    <n v="451.70249999999999"/>
  </r>
  <r>
    <x v="15"/>
    <x v="18"/>
    <n v="737.82999999999993"/>
    <n v="2"/>
    <n v="2"/>
    <n v="653"/>
    <n v="368.91499999999996"/>
  </r>
  <r>
    <x v="16"/>
    <x v="18"/>
    <n v="587.45000000000005"/>
    <n v="1"/>
    <n v="1"/>
    <n v="267"/>
    <n v="587.45000000000005"/>
  </r>
  <r>
    <x v="17"/>
    <x v="18"/>
    <n v="202.07"/>
    <n v="2"/>
    <n v="2"/>
    <n v="55"/>
    <n v="101.035"/>
  </r>
  <r>
    <x v="18"/>
    <x v="18"/>
    <n v="147.1"/>
    <n v="1"/>
    <n v="1"/>
    <n v="22"/>
    <n v="147.1"/>
  </r>
  <r>
    <x v="19"/>
    <x v="18"/>
    <n v="1990.95"/>
    <n v="4"/>
    <n v="3"/>
    <n v="1147"/>
    <n v="497.73750000000001"/>
  </r>
  <r>
    <x v="20"/>
    <x v="18"/>
    <n v="279.8"/>
    <n v="1"/>
    <n v="1"/>
    <n v="48"/>
    <n v="279.8"/>
  </r>
  <r>
    <x v="21"/>
    <x v="18"/>
    <n v="3489.69"/>
    <n v="7"/>
    <n v="5"/>
    <n v="1597"/>
    <n v="498.52714285714285"/>
  </r>
  <r>
    <x v="22"/>
    <x v="18"/>
    <n v="4571.08"/>
    <n v="9"/>
    <n v="9"/>
    <n v="2063"/>
    <n v="507.89777777777778"/>
  </r>
  <r>
    <x v="23"/>
    <x v="18"/>
    <n v="200.45000000000002"/>
    <n v="1"/>
    <n v="1"/>
    <n v="45"/>
    <n v="200.45000000000002"/>
  </r>
  <r>
    <x v="24"/>
    <x v="19"/>
    <n v="2.95"/>
    <n v="1"/>
    <n v="1"/>
    <n v="1"/>
    <n v="2.95"/>
  </r>
  <r>
    <x v="1"/>
    <x v="19"/>
    <n v="193.72"/>
    <n v="2"/>
    <n v="2"/>
    <n v="117"/>
    <n v="96.86"/>
  </r>
  <r>
    <x v="2"/>
    <x v="19"/>
    <n v="110.4"/>
    <n v="1"/>
    <n v="1"/>
    <n v="48"/>
    <n v="110.4"/>
  </r>
  <r>
    <x v="5"/>
    <x v="19"/>
    <n v="594.67999999999995"/>
    <n v="2"/>
    <n v="2"/>
    <n v="428"/>
    <n v="297.33999999999997"/>
  </r>
  <r>
    <x v="6"/>
    <x v="19"/>
    <n v="1253.3"/>
    <n v="3"/>
    <n v="1"/>
    <n v="726"/>
    <n v="417.76666666666665"/>
  </r>
  <r>
    <x v="8"/>
    <x v="19"/>
    <n v="1895"/>
    <n v="1"/>
    <n v="1"/>
    <n v="1100"/>
    <n v="1895"/>
  </r>
  <r>
    <x v="9"/>
    <x v="19"/>
    <n v="1533.8899999999999"/>
    <n v="1"/>
    <n v="1"/>
    <n v="3199"/>
    <n v="1533.8899999999999"/>
  </r>
  <r>
    <x v="10"/>
    <x v="19"/>
    <n v="23.6"/>
    <n v="3"/>
    <n v="1"/>
    <n v="8"/>
    <n v="7.8666666666666671"/>
  </r>
  <r>
    <x v="11"/>
    <x v="19"/>
    <n v="11819.55"/>
    <n v="3"/>
    <n v="3"/>
    <n v="5777"/>
    <n v="3939.85"/>
  </r>
  <r>
    <x v="13"/>
    <x v="19"/>
    <n v="5780.8099999999995"/>
    <n v="2"/>
    <n v="2"/>
    <n v="2999"/>
    <n v="2890.4049999999997"/>
  </r>
  <r>
    <x v="14"/>
    <x v="19"/>
    <n v="48.9"/>
    <n v="3"/>
    <n v="3"/>
    <n v="21"/>
    <n v="16.3"/>
  </r>
  <r>
    <x v="15"/>
    <x v="19"/>
    <n v="6548.5"/>
    <n v="2"/>
    <n v="2"/>
    <n v="8058"/>
    <n v="3274.25"/>
  </r>
  <r>
    <x v="16"/>
    <x v="19"/>
    <n v="1351.45"/>
    <n v="1"/>
    <n v="1"/>
    <n v="743"/>
    <n v="1351.45"/>
  </r>
  <r>
    <x v="17"/>
    <x v="19"/>
    <n v="1607.04"/>
    <n v="1"/>
    <n v="1"/>
    <n v="2256"/>
    <n v="1607.04"/>
  </r>
  <r>
    <x v="18"/>
    <x v="19"/>
    <n v="3854.4"/>
    <n v="2"/>
    <n v="2"/>
    <n v="2328"/>
    <n v="1927.2"/>
  </r>
  <r>
    <x v="20"/>
    <x v="19"/>
    <n v="112.07999999999998"/>
    <n v="1"/>
    <n v="1"/>
    <n v="144"/>
    <n v="112.07999999999998"/>
  </r>
  <r>
    <x v="21"/>
    <x v="19"/>
    <n v="1948.0400000000002"/>
    <n v="2"/>
    <n v="2"/>
    <n v="1124"/>
    <n v="974.0200000000001"/>
  </r>
  <r>
    <x v="22"/>
    <x v="19"/>
    <n v="8460.08"/>
    <n v="2"/>
    <n v="2"/>
    <n v="4250"/>
    <n v="4230.04"/>
  </r>
  <r>
    <x v="8"/>
    <x v="20"/>
    <n v="168.69000000000003"/>
    <n v="1"/>
    <n v="1"/>
    <n v="102"/>
    <n v="168.69000000000003"/>
  </r>
  <r>
    <x v="10"/>
    <x v="20"/>
    <n v="949.82"/>
    <n v="1"/>
    <n v="1"/>
    <n v="598"/>
    <n v="949.82"/>
  </r>
  <r>
    <x v="12"/>
    <x v="21"/>
    <n v="1693.88"/>
    <n v="1"/>
    <n v="1"/>
    <n v="386"/>
    <n v="1693.88"/>
  </r>
  <r>
    <x v="6"/>
    <x v="22"/>
    <n v="1706.23"/>
    <n v="1"/>
    <n v="1"/>
    <n v="971"/>
    <n v="1706.23"/>
  </r>
  <r>
    <x v="10"/>
    <x v="22"/>
    <n v="1525.39"/>
    <n v="1"/>
    <n v="1"/>
    <n v="683"/>
    <n v="1525.39"/>
  </r>
  <r>
    <x v="11"/>
    <x v="22"/>
    <n v="3322.12"/>
    <n v="4"/>
    <n v="1"/>
    <n v="1304"/>
    <n v="830.53"/>
  </r>
  <r>
    <x v="1"/>
    <x v="23"/>
    <n v="1636.38"/>
    <n v="2"/>
    <n v="1"/>
    <n v="606"/>
    <n v="818.19"/>
  </r>
  <r>
    <x v="7"/>
    <x v="23"/>
    <n v="3737.12"/>
    <n v="2"/>
    <n v="1"/>
    <n v="943"/>
    <n v="1868.56"/>
  </r>
  <r>
    <x v="17"/>
    <x v="23"/>
    <n v="863.16"/>
    <n v="2"/>
    <n v="1"/>
    <n v="402"/>
    <n v="431.58"/>
  </r>
  <r>
    <x v="19"/>
    <x v="23"/>
    <n v="1119"/>
    <n v="2"/>
    <n v="2"/>
    <n v="382"/>
    <n v="559.5"/>
  </r>
  <r>
    <x v="22"/>
    <x v="23"/>
    <n v="743.43"/>
    <n v="1"/>
    <n v="1"/>
    <n v="186"/>
    <n v="743.43"/>
  </r>
  <r>
    <x v="0"/>
    <x v="24"/>
    <n v="15204.73"/>
    <n v="6"/>
    <n v="2"/>
    <n v="10822"/>
    <n v="2534.1216666666664"/>
  </r>
  <r>
    <x v="24"/>
    <x v="24"/>
    <n v="29230.77"/>
    <n v="6"/>
    <n v="3"/>
    <n v="20531"/>
    <n v="4871.7950000000001"/>
  </r>
  <r>
    <x v="1"/>
    <x v="24"/>
    <n v="17255.39"/>
    <n v="8"/>
    <n v="2"/>
    <n v="9883"/>
    <n v="2156.9237499999999"/>
  </r>
  <r>
    <x v="2"/>
    <x v="24"/>
    <n v="24447.98"/>
    <n v="15"/>
    <n v="4"/>
    <n v="16662"/>
    <n v="1629.8653333333334"/>
  </r>
  <r>
    <x v="3"/>
    <x v="24"/>
    <n v="6888.78"/>
    <n v="10"/>
    <n v="8"/>
    <n v="4944"/>
    <n v="688.87799999999993"/>
  </r>
  <r>
    <x v="4"/>
    <x v="24"/>
    <n v="22416.53"/>
    <n v="8"/>
    <n v="6"/>
    <n v="14910"/>
    <n v="2802.0662499999999"/>
  </r>
  <r>
    <x v="5"/>
    <x v="24"/>
    <n v="24224.51"/>
    <n v="8"/>
    <n v="4"/>
    <n v="15761"/>
    <n v="3028.0637499999998"/>
  </r>
  <r>
    <x v="6"/>
    <x v="24"/>
    <n v="5532.64"/>
    <n v="10"/>
    <n v="8"/>
    <n v="3409"/>
    <n v="553.26400000000001"/>
  </r>
  <r>
    <x v="7"/>
    <x v="24"/>
    <n v="25028.69"/>
    <n v="10"/>
    <n v="5"/>
    <n v="17667"/>
    <n v="2502.8689999999997"/>
  </r>
  <r>
    <x v="8"/>
    <x v="24"/>
    <n v="45037.14"/>
    <n v="19"/>
    <n v="8"/>
    <n v="29199"/>
    <n v="2370.3757894736841"/>
  </r>
  <r>
    <x v="9"/>
    <x v="24"/>
    <n v="17265.849999999999"/>
    <n v="12"/>
    <n v="4"/>
    <n v="17628"/>
    <n v="1438.8208333333332"/>
  </r>
  <r>
    <x v="10"/>
    <x v="24"/>
    <n v="36058.74"/>
    <n v="22"/>
    <n v="7"/>
    <n v="22102"/>
    <n v="1639.0336363636363"/>
  </r>
  <r>
    <x v="11"/>
    <x v="24"/>
    <n v="8977.08"/>
    <n v="3"/>
    <n v="2"/>
    <n v="6908"/>
    <n v="2992.36"/>
  </r>
  <r>
    <x v="12"/>
    <x v="24"/>
    <n v="26611.16"/>
    <n v="5"/>
    <n v="2"/>
    <n v="20417"/>
    <n v="5322.232"/>
  </r>
  <r>
    <x v="13"/>
    <x v="24"/>
    <n v="23011.91"/>
    <n v="5"/>
    <n v="2"/>
    <n v="16387"/>
    <n v="4602.3819999999996"/>
  </r>
  <r>
    <x v="14"/>
    <x v="24"/>
    <n v="22416.489999999998"/>
    <n v="8"/>
    <n v="4"/>
    <n v="14828"/>
    <n v="2802.0612499999997"/>
  </r>
  <r>
    <x v="15"/>
    <x v="24"/>
    <n v="2976.56"/>
    <n v="3"/>
    <n v="1"/>
    <n v="1768"/>
    <n v="992.18666666666661"/>
  </r>
  <r>
    <x v="16"/>
    <x v="24"/>
    <n v="29185.88"/>
    <n v="11"/>
    <n v="4"/>
    <n v="19936"/>
    <n v="2653.2618181818184"/>
  </r>
  <r>
    <x v="17"/>
    <x v="24"/>
    <n v="26858.09"/>
    <n v="11"/>
    <n v="5"/>
    <n v="19744"/>
    <n v="2441.6445454545456"/>
  </r>
  <r>
    <x v="18"/>
    <x v="24"/>
    <n v="26.02"/>
    <n v="1"/>
    <n v="1"/>
    <n v="10"/>
    <n v="26.02"/>
  </r>
  <r>
    <x v="19"/>
    <x v="24"/>
    <n v="40327.81"/>
    <n v="7"/>
    <n v="1"/>
    <n v="29300"/>
    <n v="5761.1157142857137"/>
  </r>
  <r>
    <x v="20"/>
    <x v="24"/>
    <n v="26937.26"/>
    <n v="7"/>
    <n v="2"/>
    <n v="17309"/>
    <n v="3848.18"/>
  </r>
  <r>
    <x v="21"/>
    <x v="24"/>
    <n v="40708.65"/>
    <n v="15"/>
    <n v="4"/>
    <n v="27230"/>
    <n v="2713.9100000000003"/>
  </r>
  <r>
    <x v="22"/>
    <x v="24"/>
    <n v="25874.01"/>
    <n v="15"/>
    <n v="4"/>
    <n v="18663"/>
    <n v="1724.934"/>
  </r>
  <r>
    <x v="23"/>
    <x v="24"/>
    <n v="11728.02"/>
    <n v="3"/>
    <n v="1"/>
    <n v="7958"/>
    <n v="3909.34"/>
  </r>
  <r>
    <x v="24"/>
    <x v="25"/>
    <n v="27.82"/>
    <n v="1"/>
    <n v="1"/>
    <n v="1"/>
    <n v="27.82"/>
  </r>
  <r>
    <x v="7"/>
    <x v="25"/>
    <n v="112.57000000000001"/>
    <n v="1"/>
    <n v="1"/>
    <n v="102"/>
    <n v="112.57000000000001"/>
  </r>
  <r>
    <x v="0"/>
    <x v="26"/>
    <n v="485.31"/>
    <n v="1"/>
    <n v="1"/>
    <n v="182"/>
    <n v="485.31"/>
  </r>
  <r>
    <x v="2"/>
    <x v="26"/>
    <n v="13916.34"/>
    <n v="2"/>
    <n v="1"/>
    <n v="2"/>
    <n v="6958.17"/>
  </r>
  <r>
    <x v="7"/>
    <x v="26"/>
    <n v="152.4"/>
    <n v="1"/>
    <n v="1"/>
    <n v="508"/>
    <n v="152.4"/>
  </r>
  <r>
    <x v="8"/>
    <x v="26"/>
    <n v="973.69"/>
    <n v="1"/>
    <n v="1"/>
    <n v="619"/>
    <n v="973.69"/>
  </r>
  <r>
    <x v="10"/>
    <x v="26"/>
    <n v="4629.32"/>
    <n v="4"/>
    <n v="3"/>
    <n v="2974"/>
    <n v="1157.33"/>
  </r>
  <r>
    <x v="11"/>
    <x v="26"/>
    <n v="7574.24"/>
    <n v="2"/>
    <n v="1"/>
    <n v="7164"/>
    <n v="3787.12"/>
  </r>
  <r>
    <x v="13"/>
    <x v="26"/>
    <n v="630.9"/>
    <n v="2"/>
    <n v="2"/>
    <n v="295"/>
    <n v="315.45"/>
  </r>
  <r>
    <x v="14"/>
    <x v="26"/>
    <n v="1265.31"/>
    <n v="4"/>
    <n v="1"/>
    <n v="156"/>
    <n v="316.32749999999999"/>
  </r>
  <r>
    <x v="17"/>
    <x v="26"/>
    <n v="5886.8600000000006"/>
    <n v="4"/>
    <n v="2"/>
    <n v="2009"/>
    <n v="1471.7150000000001"/>
  </r>
  <r>
    <x v="18"/>
    <x v="26"/>
    <n v="890.06999999999994"/>
    <n v="1"/>
    <n v="1"/>
    <n v="586"/>
    <n v="890.06999999999994"/>
  </r>
  <r>
    <x v="19"/>
    <x v="26"/>
    <n v="2025.81"/>
    <n v="2"/>
    <n v="2"/>
    <n v="636"/>
    <n v="1012.905"/>
  </r>
  <r>
    <x v="20"/>
    <x v="26"/>
    <n v="8678.94"/>
    <n v="6"/>
    <n v="5"/>
    <n v="4655"/>
    <n v="1446.49"/>
  </r>
  <r>
    <x v="21"/>
    <x v="26"/>
    <n v="3687.23"/>
    <n v="7"/>
    <n v="5"/>
    <n v="1692"/>
    <n v="526.74714285714288"/>
  </r>
  <r>
    <x v="22"/>
    <x v="26"/>
    <n v="6527.5"/>
    <n v="5"/>
    <n v="5"/>
    <n v="3406"/>
    <n v="1305.5"/>
  </r>
  <r>
    <x v="23"/>
    <x v="26"/>
    <n v="2785.7000000000003"/>
    <n v="3"/>
    <n v="2"/>
    <n v="2319"/>
    <n v="928.56666666666672"/>
  </r>
  <r>
    <x v="0"/>
    <x v="27"/>
    <n v="371.82"/>
    <n v="1"/>
    <n v="1"/>
    <n v="266"/>
    <n v="371.82"/>
  </r>
  <r>
    <x v="2"/>
    <x v="27"/>
    <n v="318.86"/>
    <n v="1"/>
    <n v="1"/>
    <n v="194"/>
    <n v="318.86"/>
  </r>
  <r>
    <x v="5"/>
    <x v="27"/>
    <n v="556.16"/>
    <n v="1"/>
    <n v="1"/>
    <n v="282"/>
    <n v="556.16"/>
  </r>
  <r>
    <x v="6"/>
    <x v="27"/>
    <n v="374.75"/>
    <n v="1"/>
    <n v="1"/>
    <n v="143"/>
    <n v="374.75"/>
  </r>
  <r>
    <x v="7"/>
    <x v="27"/>
    <n v="527.43999999999994"/>
    <n v="1"/>
    <n v="1"/>
    <n v="320"/>
    <n v="527.43999999999994"/>
  </r>
  <r>
    <x v="8"/>
    <x v="27"/>
    <n v="349.47"/>
    <n v="2"/>
    <n v="2"/>
    <n v="231"/>
    <n v="174.73500000000001"/>
  </r>
  <r>
    <x v="10"/>
    <x v="27"/>
    <n v="821.14"/>
    <n v="2"/>
    <n v="2"/>
    <n v="568"/>
    <n v="410.57"/>
  </r>
  <r>
    <x v="11"/>
    <x v="27"/>
    <n v="496.32"/>
    <n v="1"/>
    <n v="1"/>
    <n v="280"/>
    <n v="496.32"/>
  </r>
  <r>
    <x v="12"/>
    <x v="27"/>
    <n v="613.22"/>
    <n v="1"/>
    <n v="1"/>
    <n v="288"/>
    <n v="613.22"/>
  </r>
  <r>
    <x v="13"/>
    <x v="27"/>
    <n v="604.04999999999995"/>
    <n v="2"/>
    <n v="2"/>
    <n v="297"/>
    <n v="302.02499999999998"/>
  </r>
  <r>
    <x v="14"/>
    <x v="27"/>
    <n v="317.77999999999997"/>
    <n v="1"/>
    <n v="1"/>
    <n v="162"/>
    <n v="317.77999999999997"/>
  </r>
  <r>
    <x v="15"/>
    <x v="27"/>
    <n v="705.83999999999992"/>
    <n v="1"/>
    <n v="1"/>
    <n v="432"/>
    <n v="705.83999999999992"/>
  </r>
  <r>
    <x v="16"/>
    <x v="27"/>
    <n v="1522.37"/>
    <n v="3"/>
    <n v="3"/>
    <n v="616"/>
    <n v="507.45666666666665"/>
  </r>
  <r>
    <x v="17"/>
    <x v="27"/>
    <n v="343.65000000000003"/>
    <n v="2"/>
    <n v="2"/>
    <n v="81"/>
    <n v="171.82500000000002"/>
  </r>
  <r>
    <x v="18"/>
    <x v="27"/>
    <n v="687.3"/>
    <n v="2"/>
    <n v="2"/>
    <n v="288"/>
    <n v="343.65"/>
  </r>
  <r>
    <x v="19"/>
    <x v="27"/>
    <n v="401.8"/>
    <n v="2"/>
    <n v="2"/>
    <n v="186"/>
    <n v="200.9"/>
  </r>
  <r>
    <x v="20"/>
    <x v="27"/>
    <n v="529.25"/>
    <n v="2"/>
    <n v="2"/>
    <n v="253"/>
    <n v="264.625"/>
  </r>
  <r>
    <x v="22"/>
    <x v="27"/>
    <n v="1361.23"/>
    <n v="2"/>
    <n v="2"/>
    <n v="941"/>
    <n v="680.61500000000001"/>
  </r>
  <r>
    <x v="0"/>
    <x v="28"/>
    <n v="2821.58"/>
    <n v="2"/>
    <n v="2"/>
    <n v="1575"/>
    <n v="1410.79"/>
  </r>
  <r>
    <x v="24"/>
    <x v="28"/>
    <n v="117.72"/>
    <n v="1"/>
    <n v="1"/>
    <n v="1"/>
    <n v="117.72"/>
  </r>
  <r>
    <x v="1"/>
    <x v="28"/>
    <n v="458.83000000000004"/>
    <n v="3"/>
    <n v="2"/>
    <n v="245"/>
    <n v="152.94333333333336"/>
  </r>
  <r>
    <x v="2"/>
    <x v="28"/>
    <n v="2519.0500000000002"/>
    <n v="2"/>
    <n v="2"/>
    <n v="1349"/>
    <n v="1259.5250000000001"/>
  </r>
  <r>
    <x v="3"/>
    <x v="28"/>
    <n v="85.539999999999992"/>
    <n v="1"/>
    <n v="1"/>
    <n v="46"/>
    <n v="85.539999999999992"/>
  </r>
  <r>
    <x v="4"/>
    <x v="28"/>
    <n v="757.2"/>
    <n v="2"/>
    <n v="2"/>
    <n v="216"/>
    <n v="378.6"/>
  </r>
  <r>
    <x v="5"/>
    <x v="28"/>
    <n v="3668.46"/>
    <n v="4"/>
    <n v="4"/>
    <n v="1632"/>
    <n v="917.11500000000001"/>
  </r>
  <r>
    <x v="6"/>
    <x v="28"/>
    <n v="288.10000000000002"/>
    <n v="1"/>
    <n v="1"/>
    <n v="72"/>
    <n v="288.10000000000002"/>
  </r>
  <r>
    <x v="7"/>
    <x v="28"/>
    <n v="463.21999999999997"/>
    <n v="2"/>
    <n v="2"/>
    <n v="189"/>
    <n v="231.60999999999999"/>
  </r>
  <r>
    <x v="8"/>
    <x v="28"/>
    <n v="2964.58"/>
    <n v="6"/>
    <n v="4"/>
    <n v="1795"/>
    <n v="494.09666666666664"/>
  </r>
  <r>
    <x v="9"/>
    <x v="28"/>
    <n v="2978.23"/>
    <n v="5"/>
    <n v="5"/>
    <n v="2224"/>
    <n v="595.64599999999996"/>
  </r>
  <r>
    <x v="10"/>
    <x v="28"/>
    <n v="5056.43"/>
    <n v="7"/>
    <n v="5"/>
    <n v="1984"/>
    <n v="722.3471428571429"/>
  </r>
  <r>
    <x v="11"/>
    <x v="28"/>
    <n v="4104.49"/>
    <n v="6"/>
    <n v="6"/>
    <n v="1644"/>
    <n v="684.08166666666659"/>
  </r>
  <r>
    <x v="12"/>
    <x v="28"/>
    <n v="4055.71"/>
    <n v="4"/>
    <n v="4"/>
    <n v="2094"/>
    <n v="1013.9275"/>
  </r>
  <r>
    <x v="13"/>
    <x v="28"/>
    <n v="1213.9000000000001"/>
    <n v="2"/>
    <n v="2"/>
    <n v="558"/>
    <n v="606.95000000000005"/>
  </r>
  <r>
    <x v="14"/>
    <x v="28"/>
    <n v="2660.85"/>
    <n v="5"/>
    <n v="4"/>
    <n v="1626"/>
    <n v="532.16999999999996"/>
  </r>
  <r>
    <x v="15"/>
    <x v="28"/>
    <n v="1687.75"/>
    <n v="2"/>
    <n v="2"/>
    <n v="951"/>
    <n v="843.875"/>
  </r>
  <r>
    <x v="16"/>
    <x v="28"/>
    <n v="4202.2300000000005"/>
    <n v="5"/>
    <n v="1"/>
    <n v="315"/>
    <n v="840.44600000000014"/>
  </r>
  <r>
    <x v="17"/>
    <x v="28"/>
    <n v="884.46"/>
    <n v="3"/>
    <n v="3"/>
    <n v="421"/>
    <n v="294.82"/>
  </r>
  <r>
    <x v="18"/>
    <x v="28"/>
    <n v="2287.85"/>
    <n v="3"/>
    <n v="3"/>
    <n v="1436"/>
    <n v="762.61666666666667"/>
  </r>
  <r>
    <x v="19"/>
    <x v="28"/>
    <n v="1221.4000000000001"/>
    <n v="1"/>
    <n v="1"/>
    <n v="1026"/>
    <n v="1221.4000000000001"/>
  </r>
  <r>
    <x v="20"/>
    <x v="28"/>
    <n v="1433.22"/>
    <n v="3"/>
    <n v="3"/>
    <n v="899"/>
    <n v="477.74"/>
  </r>
  <r>
    <x v="21"/>
    <x v="28"/>
    <n v="5877.01"/>
    <n v="9"/>
    <n v="5"/>
    <n v="3143"/>
    <n v="653.00111111111119"/>
  </r>
  <r>
    <x v="22"/>
    <x v="28"/>
    <n v="2603.3000000000002"/>
    <n v="10"/>
    <n v="7"/>
    <n v="1073"/>
    <n v="260.33000000000004"/>
  </r>
  <r>
    <x v="23"/>
    <x v="28"/>
    <n v="2808.19"/>
    <n v="4"/>
    <n v="4"/>
    <n v="1569"/>
    <n v="702.04750000000001"/>
  </r>
  <r>
    <x v="1"/>
    <x v="29"/>
    <n v="931.43"/>
    <n v="1"/>
    <n v="1"/>
    <n v="591"/>
    <n v="931.43"/>
  </r>
  <r>
    <x v="21"/>
    <x v="29"/>
    <n v="1002.3100000000001"/>
    <n v="1"/>
    <n v="1"/>
    <n v="351"/>
    <n v="1002.3100000000001"/>
  </r>
  <r>
    <x v="13"/>
    <x v="30"/>
    <n v="145.91999999999999"/>
    <n v="1"/>
    <n v="1"/>
    <n v="80"/>
    <n v="145.91999999999999"/>
  </r>
  <r>
    <x v="3"/>
    <x v="31"/>
    <n v="1252.95"/>
    <n v="1"/>
    <n v="1"/>
    <n v="509"/>
    <n v="1252.95"/>
  </r>
  <r>
    <x v="8"/>
    <x v="31"/>
    <n v="2784.82"/>
    <n v="3"/>
    <n v="1"/>
    <n v="1244"/>
    <n v="928.27333333333343"/>
  </r>
  <r>
    <x v="12"/>
    <x v="31"/>
    <n v="2053.0700000000002"/>
    <n v="1"/>
    <n v="1"/>
    <n v="1091"/>
    <n v="2053.0700000000002"/>
  </r>
  <r>
    <x v="15"/>
    <x v="31"/>
    <n v="8209.58"/>
    <n v="3"/>
    <n v="1"/>
    <n v="1389"/>
    <n v="2736.5266666666666"/>
  </r>
  <r>
    <x v="18"/>
    <x v="31"/>
    <n v="3949.32"/>
    <n v="1"/>
    <n v="1"/>
    <n v="2160"/>
    <n v="3949.32"/>
  </r>
  <r>
    <x v="21"/>
    <x v="31"/>
    <n v="7067.32"/>
    <n v="2"/>
    <n v="1"/>
    <n v="601"/>
    <n v="3533.66"/>
  </r>
  <r>
    <x v="0"/>
    <x v="32"/>
    <n v="7950.18"/>
    <n v="5"/>
    <n v="4"/>
    <n v="3279"/>
    <n v="1590.0360000000001"/>
  </r>
  <r>
    <x v="24"/>
    <x v="32"/>
    <n v="4179.59"/>
    <n v="9"/>
    <n v="6"/>
    <n v="1193"/>
    <n v="464.39888888888891"/>
  </r>
  <r>
    <x v="1"/>
    <x v="32"/>
    <n v="554.04"/>
    <n v="4"/>
    <n v="3"/>
    <n v="279"/>
    <n v="138.51"/>
  </r>
  <r>
    <x v="2"/>
    <x v="32"/>
    <n v="1671.77"/>
    <n v="6"/>
    <n v="4"/>
    <n v="1040"/>
    <n v="278.62833333333333"/>
  </r>
  <r>
    <x v="3"/>
    <x v="32"/>
    <n v="833.98"/>
    <n v="2"/>
    <n v="2"/>
    <n v="490"/>
    <n v="416.99"/>
  </r>
  <r>
    <x v="4"/>
    <x v="32"/>
    <n v="2854.58"/>
    <n v="5"/>
    <n v="3"/>
    <n v="1498"/>
    <n v="570.91599999999994"/>
  </r>
  <r>
    <x v="5"/>
    <x v="32"/>
    <n v="2332.1999999999998"/>
    <n v="2"/>
    <n v="2"/>
    <n v="884"/>
    <n v="1166.0999999999999"/>
  </r>
  <r>
    <x v="6"/>
    <x v="32"/>
    <n v="1134.81"/>
    <n v="3"/>
    <n v="3"/>
    <n v="806"/>
    <n v="378.27"/>
  </r>
  <r>
    <x v="7"/>
    <x v="32"/>
    <n v="1299.99"/>
    <n v="5"/>
    <n v="4"/>
    <n v="675"/>
    <n v="259.99799999999999"/>
  </r>
  <r>
    <x v="8"/>
    <x v="32"/>
    <n v="3770.45"/>
    <n v="6"/>
    <n v="6"/>
    <n v="2325"/>
    <n v="628.4083333333333"/>
  </r>
  <r>
    <x v="9"/>
    <x v="32"/>
    <n v="14066.13"/>
    <n v="10"/>
    <n v="8"/>
    <n v="6937"/>
    <n v="1406.6129999999998"/>
  </r>
  <r>
    <x v="10"/>
    <x v="32"/>
    <n v="6126.21"/>
    <n v="7"/>
    <n v="6"/>
    <n v="2968"/>
    <n v="875.1728571428572"/>
  </r>
  <r>
    <x v="11"/>
    <x v="32"/>
    <n v="2638.45"/>
    <n v="4"/>
    <n v="4"/>
    <n v="1334"/>
    <n v="659.61249999999995"/>
  </r>
  <r>
    <x v="12"/>
    <x v="32"/>
    <n v="10086.09"/>
    <n v="8"/>
    <n v="7"/>
    <n v="3845"/>
    <n v="1260.76125"/>
  </r>
  <r>
    <x v="13"/>
    <x v="32"/>
    <n v="2114.5"/>
    <n v="4"/>
    <n v="4"/>
    <n v="870"/>
    <n v="528.625"/>
  </r>
  <r>
    <x v="14"/>
    <x v="32"/>
    <n v="5363.15"/>
    <n v="8"/>
    <n v="8"/>
    <n v="2545"/>
    <n v="670.39374999999995"/>
  </r>
  <r>
    <x v="15"/>
    <x v="32"/>
    <n v="1785.65"/>
    <n v="3"/>
    <n v="3"/>
    <n v="953"/>
    <n v="595.2166666666667"/>
  </r>
  <r>
    <x v="16"/>
    <x v="32"/>
    <n v="3257.6"/>
    <n v="4"/>
    <n v="3"/>
    <n v="1468"/>
    <n v="814.4"/>
  </r>
  <r>
    <x v="17"/>
    <x v="32"/>
    <n v="3333.21"/>
    <n v="8"/>
    <n v="8"/>
    <n v="1538"/>
    <n v="416.65125"/>
  </r>
  <r>
    <x v="18"/>
    <x v="32"/>
    <n v="7620.77"/>
    <n v="9"/>
    <n v="7"/>
    <n v="3435"/>
    <n v="846.75222222222226"/>
  </r>
  <r>
    <x v="19"/>
    <x v="32"/>
    <n v="3342.41"/>
    <n v="10"/>
    <n v="6"/>
    <n v="1598"/>
    <n v="334.24099999999999"/>
  </r>
  <r>
    <x v="20"/>
    <x v="32"/>
    <n v="5189.24"/>
    <n v="8"/>
    <n v="6"/>
    <n v="2683"/>
    <n v="648.65499999999997"/>
  </r>
  <r>
    <x v="21"/>
    <x v="32"/>
    <n v="8636.94"/>
    <n v="8"/>
    <n v="7"/>
    <n v="4352"/>
    <n v="1079.6175000000001"/>
  </r>
  <r>
    <x v="22"/>
    <x v="32"/>
    <n v="8669.06"/>
    <n v="14"/>
    <n v="12"/>
    <n v="3505"/>
    <n v="619.21857142857141"/>
  </r>
  <r>
    <x v="23"/>
    <x v="32"/>
    <n v="316.20999999999998"/>
    <n v="2"/>
    <n v="2"/>
    <n v="274"/>
    <n v="158.10499999999999"/>
  </r>
  <r>
    <x v="0"/>
    <x v="33"/>
    <n v="285.29999999999995"/>
    <n v="1"/>
    <n v="1"/>
    <n v="174"/>
    <n v="285.29999999999995"/>
  </r>
  <r>
    <x v="24"/>
    <x v="33"/>
    <n v="1680.15"/>
    <n v="3"/>
    <n v="2"/>
    <n v="1537"/>
    <n v="560.05000000000007"/>
  </r>
  <r>
    <x v="1"/>
    <x v="33"/>
    <n v="8202.58"/>
    <n v="7"/>
    <n v="3"/>
    <n v="8497"/>
    <n v="1171.7971428571429"/>
  </r>
  <r>
    <x v="2"/>
    <x v="33"/>
    <n v="1314.18"/>
    <n v="5"/>
    <n v="4"/>
    <n v="548"/>
    <n v="262.83600000000001"/>
  </r>
  <r>
    <x v="3"/>
    <x v="33"/>
    <n v="17698.12"/>
    <n v="16"/>
    <n v="3"/>
    <n v="18648"/>
    <n v="1106.1324999999999"/>
  </r>
  <r>
    <x v="4"/>
    <x v="33"/>
    <n v="3556.7599999999998"/>
    <n v="10"/>
    <n v="1"/>
    <n v="6084"/>
    <n v="355.67599999999999"/>
  </r>
  <r>
    <x v="5"/>
    <x v="33"/>
    <n v="914.30000000000007"/>
    <n v="2"/>
    <n v="2"/>
    <n v="467"/>
    <n v="457.15000000000003"/>
  </r>
  <r>
    <x v="6"/>
    <x v="33"/>
    <n v="2590.7800000000002"/>
    <n v="2"/>
    <n v="2"/>
    <n v="2513"/>
    <n v="1295.3900000000001"/>
  </r>
  <r>
    <x v="7"/>
    <x v="33"/>
    <n v="2702.94"/>
    <n v="5"/>
    <n v="2"/>
    <n v="1827"/>
    <n v="540.58799999999997"/>
  </r>
  <r>
    <x v="8"/>
    <x v="33"/>
    <n v="2899.56"/>
    <n v="4"/>
    <n v="3"/>
    <n v="3526"/>
    <n v="724.89"/>
  </r>
  <r>
    <x v="9"/>
    <x v="33"/>
    <n v="9369.41"/>
    <n v="8"/>
    <n v="6"/>
    <n v="7814"/>
    <n v="1171.17625"/>
  </r>
  <r>
    <x v="10"/>
    <x v="33"/>
    <n v="1933.91"/>
    <n v="5"/>
    <n v="3"/>
    <n v="782"/>
    <n v="386.78200000000004"/>
  </r>
  <r>
    <x v="11"/>
    <x v="33"/>
    <n v="3834.2999999999997"/>
    <n v="2"/>
    <n v="1"/>
    <n v="3954"/>
    <n v="1917.1499999999999"/>
  </r>
  <r>
    <x v="12"/>
    <x v="33"/>
    <n v="3486.32"/>
    <n v="2"/>
    <n v="2"/>
    <n v="3097"/>
    <n v="1743.16"/>
  </r>
  <r>
    <x v="13"/>
    <x v="33"/>
    <n v="509.5"/>
    <n v="1"/>
    <n v="1"/>
    <n v="250"/>
    <n v="509.5"/>
  </r>
  <r>
    <x v="14"/>
    <x v="33"/>
    <n v="4720.58"/>
    <n v="3"/>
    <n v="2"/>
    <n v="5407"/>
    <n v="1573.5266666666666"/>
  </r>
  <r>
    <x v="15"/>
    <x v="33"/>
    <n v="809.1"/>
    <n v="2"/>
    <n v="2"/>
    <n v="310"/>
    <n v="404.55"/>
  </r>
  <r>
    <x v="16"/>
    <x v="33"/>
    <n v="2681.98"/>
    <n v="3"/>
    <n v="2"/>
    <n v="2833"/>
    <n v="893.99333333333334"/>
  </r>
  <r>
    <x v="17"/>
    <x v="33"/>
    <n v="832"/>
    <n v="3"/>
    <n v="3"/>
    <n v="404"/>
    <n v="277.33333333333331"/>
  </r>
  <r>
    <x v="18"/>
    <x v="33"/>
    <n v="6802.09"/>
    <n v="3"/>
    <n v="2"/>
    <n v="6006"/>
    <n v="2267.3633333333332"/>
  </r>
  <r>
    <x v="19"/>
    <x v="33"/>
    <n v="1390.3600000000001"/>
    <n v="5"/>
    <n v="4"/>
    <n v="1309"/>
    <n v="278.072"/>
  </r>
  <r>
    <x v="20"/>
    <x v="33"/>
    <n v="4575.21"/>
    <n v="3"/>
    <n v="3"/>
    <n v="4344"/>
    <n v="1525.07"/>
  </r>
  <r>
    <x v="21"/>
    <x v="33"/>
    <n v="5766.16"/>
    <n v="3"/>
    <n v="2"/>
    <n v="6151"/>
    <n v="1922.0533333333333"/>
  </r>
  <r>
    <x v="22"/>
    <x v="33"/>
    <n v="2722.23"/>
    <n v="5"/>
    <n v="5"/>
    <n v="1973"/>
    <n v="544.44600000000003"/>
  </r>
  <r>
    <x v="23"/>
    <x v="33"/>
    <n v="238"/>
    <n v="1"/>
    <n v="1"/>
    <n v="40"/>
    <n v="238"/>
  </r>
  <r>
    <x v="0"/>
    <x v="34"/>
    <n v="589.4"/>
    <n v="1"/>
    <n v="1"/>
    <n v="220"/>
    <n v="589.4"/>
  </r>
  <r>
    <x v="1"/>
    <x v="34"/>
    <n v="477.68"/>
    <n v="1"/>
    <n v="1"/>
    <n v="306"/>
    <n v="477.68"/>
  </r>
  <r>
    <x v="2"/>
    <x v="34"/>
    <n v="951.62"/>
    <n v="3"/>
    <n v="2"/>
    <n v="454"/>
    <n v="317.20666666666665"/>
  </r>
  <r>
    <x v="3"/>
    <x v="34"/>
    <n v="1939.76"/>
    <n v="2"/>
    <n v="2"/>
    <n v="1201"/>
    <n v="969.88"/>
  </r>
  <r>
    <x v="4"/>
    <x v="34"/>
    <n v="9825.16"/>
    <n v="6"/>
    <n v="5"/>
    <n v="5947"/>
    <n v="1637.5266666666666"/>
  </r>
  <r>
    <x v="5"/>
    <x v="34"/>
    <n v="2362.4699999999998"/>
    <n v="2"/>
    <n v="2"/>
    <n v="1882"/>
    <n v="1181.2349999999999"/>
  </r>
  <r>
    <x v="6"/>
    <x v="34"/>
    <n v="743.99"/>
    <n v="5"/>
    <n v="3"/>
    <n v="507"/>
    <n v="148.798"/>
  </r>
  <r>
    <x v="7"/>
    <x v="34"/>
    <n v="2053.0500000000002"/>
    <n v="3"/>
    <n v="3"/>
    <n v="1062"/>
    <n v="684.35"/>
  </r>
  <r>
    <x v="8"/>
    <x v="34"/>
    <n v="2474.44"/>
    <n v="4"/>
    <n v="3"/>
    <n v="1356"/>
    <n v="618.61"/>
  </r>
  <r>
    <x v="9"/>
    <x v="34"/>
    <n v="8629.69"/>
    <n v="6"/>
    <n v="6"/>
    <n v="4611"/>
    <n v="1438.2816666666668"/>
  </r>
  <r>
    <x v="10"/>
    <x v="34"/>
    <n v="13570.73"/>
    <n v="6"/>
    <n v="5"/>
    <n v="4599"/>
    <n v="2261.7883333333334"/>
  </r>
  <r>
    <x v="11"/>
    <x v="34"/>
    <n v="1608.32"/>
    <n v="2"/>
    <n v="2"/>
    <n v="824"/>
    <n v="804.16"/>
  </r>
  <r>
    <x v="12"/>
    <x v="34"/>
    <n v="4231.2299999999996"/>
    <n v="3"/>
    <n v="3"/>
    <n v="2993"/>
    <n v="1410.4099999999999"/>
  </r>
  <r>
    <x v="13"/>
    <x v="34"/>
    <n v="2654.92"/>
    <n v="5"/>
    <n v="4"/>
    <n v="1107"/>
    <n v="530.98400000000004"/>
  </r>
  <r>
    <x v="14"/>
    <x v="34"/>
    <n v="1870.23"/>
    <n v="3"/>
    <n v="3"/>
    <n v="986"/>
    <n v="623.41"/>
  </r>
  <r>
    <x v="15"/>
    <x v="34"/>
    <n v="2076.94"/>
    <n v="4"/>
    <n v="2"/>
    <n v="886"/>
    <n v="519.23500000000001"/>
  </r>
  <r>
    <x v="16"/>
    <x v="34"/>
    <n v="3610.0099999999998"/>
    <n v="3"/>
    <n v="3"/>
    <n v="2249"/>
    <n v="1203.3366666666666"/>
  </r>
  <r>
    <x v="17"/>
    <x v="34"/>
    <n v="7904.15"/>
    <n v="4"/>
    <n v="4"/>
    <n v="3970"/>
    <n v="1976.0374999999999"/>
  </r>
  <r>
    <x v="18"/>
    <x v="34"/>
    <n v="3762.65"/>
    <n v="5"/>
    <n v="4"/>
    <n v="1615"/>
    <n v="752.53"/>
  </r>
  <r>
    <x v="19"/>
    <x v="34"/>
    <n v="4969.8900000000003"/>
    <n v="3"/>
    <n v="3"/>
    <n v="2998"/>
    <n v="1656.63"/>
  </r>
  <r>
    <x v="20"/>
    <x v="34"/>
    <n v="8284.86"/>
    <n v="7"/>
    <n v="5"/>
    <n v="4255"/>
    <n v="1183.5514285714287"/>
  </r>
  <r>
    <x v="21"/>
    <x v="34"/>
    <n v="7655.19"/>
    <n v="6"/>
    <n v="5"/>
    <n v="4532"/>
    <n v="1275.865"/>
  </r>
  <r>
    <x v="22"/>
    <x v="34"/>
    <n v="8118.96"/>
    <n v="6"/>
    <n v="4"/>
    <n v="3777"/>
    <n v="1353.16"/>
  </r>
  <r>
    <x v="5"/>
    <x v="35"/>
    <n v="1956.84"/>
    <n v="1"/>
    <n v="1"/>
    <n v="2028"/>
    <n v="1956.84"/>
  </r>
  <r>
    <x v="6"/>
    <x v="35"/>
    <n v="1113.7"/>
    <n v="1"/>
    <n v="1"/>
    <n v="524"/>
    <n v="1113.7"/>
  </r>
  <r>
    <x v="0"/>
    <x v="36"/>
    <n v="141"/>
    <n v="1"/>
    <n v="1"/>
    <n v="1"/>
    <n v="141"/>
  </r>
  <r>
    <x v="24"/>
    <x v="36"/>
    <n v="2289.59"/>
    <n v="5"/>
    <n v="2"/>
    <n v="1344"/>
    <n v="457.91800000000001"/>
  </r>
  <r>
    <x v="4"/>
    <x v="36"/>
    <n v="416.31"/>
    <n v="2"/>
    <n v="1"/>
    <n v="413"/>
    <n v="208.155"/>
  </r>
  <r>
    <x v="5"/>
    <x v="36"/>
    <n v="896.06999999999994"/>
    <n v="4"/>
    <n v="2"/>
    <n v="551"/>
    <n v="224.01749999999998"/>
  </r>
  <r>
    <x v="6"/>
    <x v="36"/>
    <n v="508.1"/>
    <n v="1"/>
    <n v="1"/>
    <n v="134"/>
    <n v="508.1"/>
  </r>
  <r>
    <x v="9"/>
    <x v="36"/>
    <n v="132.80000000000001"/>
    <n v="1"/>
    <n v="1"/>
    <n v="129"/>
    <n v="132.80000000000001"/>
  </r>
  <r>
    <x v="10"/>
    <x v="36"/>
    <n v="402.59999999999997"/>
    <n v="1"/>
    <n v="1"/>
    <n v="234"/>
    <n v="402.59999999999997"/>
  </r>
  <r>
    <x v="15"/>
    <x v="36"/>
    <n v="383.95"/>
    <n v="1"/>
    <n v="1"/>
    <n v="137"/>
    <n v="383.95"/>
  </r>
  <r>
    <x v="21"/>
    <x v="36"/>
    <n v="2311.1999999999998"/>
    <n v="2"/>
    <n v="2"/>
    <n v="1717"/>
    <n v="1155.5999999999999"/>
  </r>
  <r>
    <x v="23"/>
    <x v="36"/>
    <n v="885.24"/>
    <n v="2"/>
    <n v="2"/>
    <n v="604"/>
    <n v="442.62"/>
  </r>
  <r>
    <x v="0"/>
    <x v="37"/>
    <n v="517.70000000000005"/>
    <n v="1"/>
    <n v="1"/>
    <n v="520"/>
    <n v="517.70000000000005"/>
  </r>
  <r>
    <x v="1"/>
    <x v="37"/>
    <n v="1310.3000000000002"/>
    <n v="1"/>
    <n v="1"/>
    <n v="798"/>
    <n v="1310.3000000000002"/>
  </r>
  <r>
    <x v="2"/>
    <x v="37"/>
    <n v="1201.52"/>
    <n v="1"/>
    <n v="1"/>
    <n v="1359"/>
    <n v="1201.52"/>
  </r>
  <r>
    <x v="7"/>
    <x v="37"/>
    <n v="2047.28"/>
    <n v="1"/>
    <n v="1"/>
    <n v="1364"/>
    <n v="2047.28"/>
  </r>
  <r>
    <x v="9"/>
    <x v="37"/>
    <n v="509.92"/>
    <n v="2"/>
    <n v="1"/>
    <n v="351"/>
    <n v="254.96"/>
  </r>
  <r>
    <x v="10"/>
    <x v="37"/>
    <n v="1713.69"/>
    <n v="2"/>
    <n v="1"/>
    <n v="465"/>
    <n v="856.84500000000003"/>
  </r>
  <r>
    <x v="13"/>
    <x v="37"/>
    <n v="889.24"/>
    <n v="1"/>
    <n v="1"/>
    <n v="496"/>
    <n v="889.24"/>
  </r>
  <r>
    <x v="20"/>
    <x v="37"/>
    <n v="1013.04"/>
    <n v="2"/>
    <n v="1"/>
    <n v="486"/>
    <n v="506.52"/>
  </r>
  <r>
    <x v="0"/>
    <x v="38"/>
    <n v="610346.63"/>
    <n v="1429"/>
    <n v="904"/>
    <n v="360350"/>
    <n v="427.1145066480056"/>
  </r>
  <r>
    <x v="24"/>
    <x v="38"/>
    <n v="415120.50199999998"/>
    <n v="906"/>
    <n v="663"/>
    <n v="236118"/>
    <n v="458.19039955849888"/>
  </r>
  <r>
    <x v="1"/>
    <x v="38"/>
    <n v="409265.826"/>
    <n v="1001"/>
    <n v="713"/>
    <n v="234173"/>
    <n v="408.85696903096903"/>
  </r>
  <r>
    <x v="2"/>
    <x v="38"/>
    <n v="587165.94099999999"/>
    <n v="1396"/>
    <n v="984"/>
    <n v="384039"/>
    <n v="420.60597492836678"/>
  </r>
  <r>
    <x v="3"/>
    <x v="38"/>
    <n v="500798.55099999998"/>
    <n v="1222"/>
    <n v="876"/>
    <n v="290254"/>
    <n v="409.81878150572828"/>
  </r>
  <r>
    <x v="4"/>
    <x v="38"/>
    <n v="501394.56"/>
    <n v="1270"/>
    <n v="901"/>
    <n v="326996"/>
    <n v="394.79886614173228"/>
  </r>
  <r>
    <x v="5"/>
    <x v="38"/>
    <n v="538672.61"/>
    <n v="1377"/>
    <n v="968"/>
    <n v="331496"/>
    <n v="391.19289034132169"/>
  </r>
  <r>
    <x v="6"/>
    <x v="38"/>
    <n v="502350"/>
    <n v="1272"/>
    <n v="856"/>
    <n v="279812"/>
    <n v="394.92924528301887"/>
  </r>
  <r>
    <x v="7"/>
    <x v="38"/>
    <n v="506470.04"/>
    <n v="1193"/>
    <n v="849"/>
    <n v="313328"/>
    <n v="424.53481978206202"/>
  </r>
  <r>
    <x v="8"/>
    <x v="38"/>
    <n v="679069.92099999997"/>
    <n v="1515"/>
    <n v="1048"/>
    <n v="478908"/>
    <n v="448.23097095709568"/>
  </r>
  <r>
    <x v="9"/>
    <x v="38"/>
    <n v="875722.88"/>
    <n v="1941"/>
    <n v="1379"/>
    <n v="503353"/>
    <n v="451.17098402885114"/>
  </r>
  <r>
    <x v="10"/>
    <x v="38"/>
    <n v="977832.81200000003"/>
    <n v="2373"/>
    <n v="1486"/>
    <n v="552279"/>
    <n v="412.06608175305524"/>
  </r>
  <r>
    <x v="11"/>
    <x v="38"/>
    <n v="773911.5"/>
    <n v="1291"/>
    <n v="815"/>
    <n v="405615"/>
    <n v="599.46669248644457"/>
  </r>
  <r>
    <x v="12"/>
    <x v="38"/>
    <n v="440876.33"/>
    <n v="874"/>
    <n v="647"/>
    <n v="277650"/>
    <n v="504.43516018306639"/>
  </r>
  <r>
    <x v="13"/>
    <x v="38"/>
    <n v="354618.2"/>
    <n v="896"/>
    <n v="679"/>
    <n v="212792"/>
    <n v="395.7792410714286"/>
  </r>
  <r>
    <x v="14"/>
    <x v="38"/>
    <n v="465784.19"/>
    <n v="1177"/>
    <n v="880"/>
    <n v="275385"/>
    <n v="395.73847918436701"/>
  </r>
  <r>
    <x v="15"/>
    <x v="38"/>
    <n v="408733.11099999998"/>
    <n v="1058"/>
    <n v="784"/>
    <n v="259592"/>
    <n v="386.32619187145553"/>
  </r>
  <r>
    <x v="16"/>
    <x v="38"/>
    <n v="550359.35"/>
    <n v="1403"/>
    <n v="962"/>
    <n v="301113"/>
    <n v="392.27323592302207"/>
  </r>
  <r>
    <x v="17"/>
    <x v="38"/>
    <n v="523775.59"/>
    <n v="1249"/>
    <n v="889"/>
    <n v="280321"/>
    <n v="419.35595676541237"/>
  </r>
  <r>
    <x v="18"/>
    <x v="38"/>
    <n v="484545.59100000001"/>
    <n v="1200"/>
    <n v="859"/>
    <n v="301552"/>
    <n v="403.78799250000003"/>
  </r>
  <r>
    <x v="19"/>
    <x v="38"/>
    <n v="497194.91000000003"/>
    <n v="1133"/>
    <n v="834"/>
    <n v="310101"/>
    <n v="438.83045895851723"/>
  </r>
  <r>
    <x v="20"/>
    <x v="38"/>
    <n v="794806.69200000004"/>
    <n v="1568"/>
    <n v="1146"/>
    <n v="453420"/>
    <n v="506.89202295918369"/>
  </r>
  <r>
    <x v="21"/>
    <x v="38"/>
    <n v="821220.13"/>
    <n v="1705"/>
    <n v="1230"/>
    <n v="474668"/>
    <n v="481.65403519061584"/>
  </r>
  <r>
    <x v="22"/>
    <x v="38"/>
    <n v="975251.39"/>
    <n v="2386"/>
    <n v="1505"/>
    <n v="568167"/>
    <n v="408.73905699916179"/>
  </r>
  <r>
    <x v="23"/>
    <x v="38"/>
    <n v="471381.82"/>
    <n v="706"/>
    <n v="560"/>
    <n v="259971"/>
    <n v="667.67963172804536"/>
  </r>
  <r>
    <x v="24"/>
    <x v="39"/>
    <n v="1035.0999999999999"/>
    <n v="2"/>
    <n v="2"/>
    <n v="382"/>
    <n v="517.54999999999995"/>
  </r>
  <r>
    <x v="3"/>
    <x v="39"/>
    <n v="252.51999999999998"/>
    <n v="1"/>
    <n v="1"/>
    <n v="153"/>
    <n v="252.51999999999998"/>
  </r>
  <r>
    <x v="6"/>
    <x v="39"/>
    <n v="2379.88"/>
    <n v="2"/>
    <n v="1"/>
    <n v="1276"/>
    <n v="1189.94"/>
  </r>
  <r>
    <x v="8"/>
    <x v="39"/>
    <n v="1978.15"/>
    <n v="2"/>
    <n v="2"/>
    <n v="1256"/>
    <n v="989.07500000000005"/>
  </r>
  <r>
    <x v="10"/>
    <x v="39"/>
    <n v="300.93"/>
    <n v="1"/>
    <n v="1"/>
    <n v="261"/>
    <n v="300.93"/>
  </r>
  <r>
    <x v="15"/>
    <x v="39"/>
    <n v="299.10000000000002"/>
    <n v="1"/>
    <n v="1"/>
    <n v="282"/>
    <n v="299.10000000000002"/>
  </r>
  <r>
    <x v="16"/>
    <x v="39"/>
    <n v="852.68"/>
    <n v="1"/>
    <n v="1"/>
    <n v="654"/>
    <n v="852.68"/>
  </r>
  <r>
    <x v="17"/>
    <x v="39"/>
    <n v="185.78"/>
    <n v="1"/>
    <n v="1"/>
    <n v="78"/>
    <n v="185.78"/>
  </r>
  <r>
    <x v="18"/>
    <x v="39"/>
    <n v="792.18"/>
    <n v="3"/>
    <n v="2"/>
    <n v="586"/>
    <n v="264.06"/>
  </r>
  <r>
    <x v="19"/>
    <x v="39"/>
    <n v="531.03"/>
    <n v="2"/>
    <n v="2"/>
    <n v="185"/>
    <n v="265.51499999999999"/>
  </r>
  <r>
    <x v="7"/>
    <x v="40"/>
    <n v="536.41"/>
    <n v="1"/>
    <n v="1"/>
    <n v="395"/>
    <n v="536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AF2F2-85F0-4687-9B32-44A4A898ADA7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Q1:S27" firstHeaderRow="0" firstDataRow="1" firstDataCol="1"/>
  <pivotFields count="8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OV" fld="5" subtotal="average" baseField="0" baseItem="5"/>
    <dataField name="Sum of Orders" fld="2" baseField="0" baseItem="0"/>
  </dataFields>
  <formats count="1">
    <format dxfId="8">
      <pivotArea dataOnly="0" labelOnly="1" fieldPosition="0">
        <references count="1">
          <reference field="0" count="0"/>
        </references>
      </pivotArea>
    </format>
  </formats>
  <chartFormats count="8">
    <chartFormat chart="3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66AF2B-94DA-4C8D-AB1A-5F0CD070938D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1:D27" firstHeaderRow="0" firstDataRow="1" firstDataCol="1"/>
  <pivotFields count="8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" baseField="0" baseItem="0"/>
    <dataField name="Sum of Orders" fld="2" baseField="0" baseItem="0"/>
    <dataField name="Sum of ActiveCustomers" fld="3" baseField="0" baseItem="0"/>
  </dataFields>
  <formats count="3">
    <format dxfId="9">
      <pivotArea field="0" type="button" dataOnly="0" labelOnly="1" outline="0" axis="axisRow" fieldPosition="0"/>
    </format>
    <format dxfId="10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</formats>
  <chartFormats count="2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93F05-0023-45E0-90DC-F0B218AFD1FF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3:H14" firstHeaderRow="1" firstDataRow="1" firstDataCol="1" rowPageCount="1" colPageCount="1"/>
  <pivotFields count="7">
    <pivotField axis="axisPage" numFmtId="14" showAll="0">
      <items count="26">
        <item x="0"/>
        <item x="24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 measureFilter="1" sortType="descending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36"/>
        <item x="4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 v="37"/>
    </i>
    <i>
      <x v="10"/>
    </i>
    <i>
      <x v="24"/>
    </i>
    <i>
      <x v="14"/>
    </i>
    <i>
      <x v="13"/>
    </i>
    <i>
      <x/>
    </i>
    <i>
      <x v="32"/>
    </i>
    <i>
      <x v="34"/>
    </i>
    <i>
      <x v="33"/>
    </i>
    <i>
      <x v="9"/>
    </i>
    <i t="grand">
      <x/>
    </i>
  </rowItems>
  <colItems count="1">
    <i/>
  </colItems>
  <pageFields count="1">
    <pageField fld="0" hier="-1"/>
  </pageFields>
  <dataFields count="1">
    <dataField name="Sum of Revenue" fld="2" baseField="1" baseItem="0"/>
  </dataField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48F4475-BD43-4369-BF07-78B93832E654}" autoFormatId="16" applyNumberFormats="0" applyBorderFormats="0" applyFontFormats="0" applyPatternFormats="0" applyAlignmentFormats="0" applyWidthHeightFormats="0">
  <queryTableRefresh nextId="9">
    <queryTableFields count="8">
      <queryTableField id="1" name="InvoiceMonth" tableColumnId="1"/>
      <queryTableField id="2" name="Country" tableColumnId="2"/>
      <queryTableField id="3" name="Revenue" tableColumnId="3"/>
      <queryTableField id="4" name="Orders" tableColumnId="4"/>
      <queryTableField id="5" name="ActiveCustomers" tableColumnId="5"/>
      <queryTableField id="6" name="UnitsSold" tableColumnId="6"/>
      <queryTableField id="8" dataBound="0" tableColumnId="10"/>
      <queryTableField id="7" name="AOV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E220C7-BFE5-47E9-AF76-0CD50FF406B5}" autoFormatId="16" applyNumberFormats="0" applyBorderFormats="0" applyFontFormats="0" applyPatternFormats="0" applyAlignmentFormats="0" applyWidthHeightFormats="0">
  <queryTableRefresh nextId="10">
    <queryTableFields count="9">
      <queryTableField id="1" name="InvoiceMonth" tableColumnId="1"/>
      <queryTableField id="2" name="Revenue" tableColumnId="2"/>
      <queryTableField id="3" name="Orders" tableColumnId="3"/>
      <queryTableField id="4" name="ActiveCustomers" tableColumnId="4"/>
      <queryTableField id="5" name="UnitsSold" tableColumnId="5"/>
      <queryTableField id="6" name="AOV" tableColumnId="6"/>
      <queryTableField id="7" name="Revenue_MoM_Growth" tableColumnId="7"/>
      <queryTableField id="9" dataBound="0" tableColumnId="9"/>
      <queryTableField id="8" name="ActiveCustomers_MoM_Growth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935A7F-F24F-4650-8627-FD3C47B4CF2D}" name="tbl_kpi_country" displayName="tbl_kpi_country" ref="A1:H547" tableType="queryTable" totalsRowShown="0">
  <autoFilter ref="A1:H547" xr:uid="{CF935A7F-F24F-4650-8627-FD3C47B4CF2D}"/>
  <tableColumns count="8">
    <tableColumn id="1" xr3:uid="{26287331-04DC-40E7-A577-540EAFC4E567}" uniqueName="1" name="InvoiceMonth" queryTableFieldId="1" dataDxfId="13"/>
    <tableColumn id="2" xr3:uid="{81927295-1A14-401B-A3A3-0F7360659D9D}" uniqueName="2" name="Country" queryTableFieldId="2" dataDxfId="12"/>
    <tableColumn id="3" xr3:uid="{6D2E38A3-C9EC-467E-8E63-EE52EDDBB96F}" uniqueName="3" name="Revenue" queryTableFieldId="3"/>
    <tableColumn id="4" xr3:uid="{7E4B1161-C840-4782-AC5B-2EB5E51016B0}" uniqueName="4" name="Orders" queryTableFieldId="4"/>
    <tableColumn id="5" xr3:uid="{8DF0C31A-2350-4254-B3B3-5512248CB463}" uniqueName="5" name="ActiveCustomers" queryTableFieldId="5"/>
    <tableColumn id="6" xr3:uid="{63C496EC-AF11-4DC0-87A7-DF0F25F028B1}" uniqueName="6" name="UnitsSold" queryTableFieldId="6"/>
    <tableColumn id="10" xr3:uid="{05F001E7-7F46-45DC-B48F-76E8FCA547F7}" uniqueName="10" name="MonthKey" queryTableFieldId="8" dataDxfId="3">
      <calculatedColumnFormula>YEAR(tbl_kpi_country[[#This Row],[InvoiceMonth]])*100 + MONTH(tbl_kpi_country[[#This Row],[InvoiceMonth]])</calculatedColumnFormula>
    </tableColumn>
    <tableColumn id="7" xr3:uid="{58E60A04-3EBC-4D40-A46C-EAE3497E1402}" uniqueName="7" name="AOV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2D92F-9FF7-4069-8C26-318B5AE7A1EA}" name="tbl_kpi_monthly" displayName="tbl_kpi_monthly" ref="A1:I26" tableType="queryTable" totalsRowShown="0">
  <autoFilter ref="A1:I26" xr:uid="{2A42D92F-9FF7-4069-8C26-318B5AE7A1EA}"/>
  <tableColumns count="9">
    <tableColumn id="1" xr3:uid="{7034D29B-F659-4617-86AD-9E9911E60CE4}" uniqueName="1" name="InvoiceMonth" queryTableFieldId="1" dataDxfId="14"/>
    <tableColumn id="2" xr3:uid="{820F9739-4365-4208-A6A3-B38CD211673D}" uniqueName="2" name="Revenue" queryTableFieldId="2"/>
    <tableColumn id="3" xr3:uid="{DD15281B-1996-4375-9EB8-C6A8E1524890}" uniqueName="3" name="Orders" queryTableFieldId="3"/>
    <tableColumn id="4" xr3:uid="{5168A45A-CF5C-4BBC-A456-5C7C58E981E4}" uniqueName="4" name="ActiveCustomers" queryTableFieldId="4"/>
    <tableColumn id="5" xr3:uid="{3CE84E7A-383A-4C63-88AF-446617C9A453}" uniqueName="5" name="UnitsSold" queryTableFieldId="5"/>
    <tableColumn id="6" xr3:uid="{3D1F5FF8-5BC7-40BD-866A-5450217884DC}" uniqueName="6" name="AOV" queryTableFieldId="6"/>
    <tableColumn id="7" xr3:uid="{249EDD51-1F82-43B1-9FB0-D2E07CA7AFED}" uniqueName="7" name="Revenue_MoM_Growth" queryTableFieldId="7"/>
    <tableColumn id="9" xr3:uid="{BEEF9566-66BF-49B0-9010-022C82ACB498}" uniqueName="9" name="MonthKey" queryTableFieldId="9" dataDxfId="4">
      <calculatedColumnFormula>YEAR(tbl_kpi_monthly[[#This Row],[InvoiceMonth]])*100 + MONTH(tbl_kpi_monthly[[#This Row],[InvoiceMonth]])</calculatedColumnFormula>
    </tableColumn>
    <tableColumn id="8" xr3:uid="{00A3B7CC-C634-4433-B8D0-6041A9EBA302}" uniqueName="8" name="ActiveCustomers_MoM_Growth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C66F45-6F85-4556-BB22-01A0EEB41D36}" name="tbl_calc_checks" displayName="tbl_calc_checks" ref="A1:H26">
  <autoFilter ref="A1:H26" xr:uid="{F6C66F45-6F85-4556-BB22-01A0EEB41D36}"/>
  <tableColumns count="8">
    <tableColumn id="1" xr3:uid="{F68D6BB6-4140-4835-8F10-382CD0922CF5}" name="InvoiceMonth" totalsRowLabel="Total" dataDxfId="7">
      <calculatedColumnFormula>tbl_kpi_monthly[[#This Row],[InvoiceMonth]]</calculatedColumnFormula>
    </tableColumn>
    <tableColumn id="2" xr3:uid="{806A7164-6219-4257-8155-FE7A02DD9A55}" name="Revenue">
      <calculatedColumnFormula>_xlfn.XLOOKUP(A2, tbl_kpi_monthly[InvoiceMonth], tbl_kpi_monthly[Revenue])</calculatedColumnFormula>
    </tableColumn>
    <tableColumn id="3" xr3:uid="{40F9080C-2E61-4E82-9117-61A27154A94E}" name="Orders">
      <calculatedColumnFormula>_xlfn.XLOOKUP(A2, tbl_kpi_monthly[InvoiceMonth], tbl_kpi_monthly[Orders])</calculatedColumnFormula>
    </tableColumn>
    <tableColumn id="4" xr3:uid="{9ABA622D-4B30-4CAD-AF80-3F9C876BCA04}" name="AOV_Recomputed" dataDxfId="6">
      <calculatedColumnFormula>IF(tbl_calc_checks[[#This Row],[Orders]]=0, 0, tbl_calc_checks[[#This Row],[Revenue]]/tbl_calc_checks[[#This Row],[Orders]])</calculatedColumnFormula>
    </tableColumn>
    <tableColumn id="5" xr3:uid="{F1E6AE64-2867-4B38-9F16-6AA16C0B5E69}" name="AOV_Original" dataDxfId="5">
      <calculatedColumnFormula>_xlfn.XLOOKUP(tbl_calc_checks[[#This Row],[InvoiceMonth]], tbl_kpi_monthly[InvoiceMonth], tbl_kpi_monthly[AOV])</calculatedColumnFormula>
    </tableColumn>
    <tableColumn id="7" xr3:uid="{FC4FD758-3298-442C-9813-6B1C6D2B0942}" name="AOV_Diff" dataDxfId="2">
      <calculatedColumnFormula>tbl_calc_checks[[#This Row],[AOV_Recomputed]]-tbl_calc_checks[[#This Row],[AOV_Original]]</calculatedColumnFormula>
    </tableColumn>
    <tableColumn id="6" xr3:uid="{0320A700-5DA7-4750-BEF1-C29258DA0261}" name="Revenue_MoM_Formula" totalsRowFunction="count" dataDxfId="1">
      <calculatedColumnFormula>IFERROR((tbl_calc_checks[[#This Row],[Revenue]] / OFFSET(tbl_calc_checks[[#This Row],[Revenue]], -1, 0)) - 1, "")</calculatedColumnFormula>
    </tableColumn>
    <tableColumn id="11" xr3:uid="{38B92E21-3AF0-4C1A-8F1F-BB56BD2A22B3}" name="Column1" dataDxfId="0">
      <calculatedColumnFormula>IFERROR(tbl_calc_checks[[#This Row],[Revenue_MoM_Formula]] - _xlfn.XLOOKUP(tbl_calc_checks[[#This Row],[InvoiceMonth]], tbl_kpi_monthly[InvoiceMonth], tbl_kpi_monthly[Revenue_MoM_Growth]),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B843-A950-47EB-B5DD-49D9721B6C81}">
  <dimension ref="A1:H547"/>
  <sheetViews>
    <sheetView workbookViewId="0">
      <selection activeCell="G1" sqref="G1"/>
    </sheetView>
  </sheetViews>
  <sheetFormatPr defaultRowHeight="14.4"/>
  <cols>
    <col min="1" max="1" width="15.109375" bestFit="1" customWidth="1"/>
    <col min="2" max="2" width="18.77734375" bestFit="1" customWidth="1"/>
    <col min="3" max="3" width="11" bestFit="1" customWidth="1"/>
    <col min="4" max="4" width="8.77734375" bestFit="1" customWidth="1"/>
    <col min="5" max="5" width="17.44140625" bestFit="1" customWidth="1"/>
    <col min="6" max="6" width="11.21875" bestFit="1" customWidth="1"/>
    <col min="7" max="7" width="11.21875" customWidth="1"/>
    <col min="8" max="8" width="12" bestFit="1" customWidth="1"/>
  </cols>
  <sheetData>
    <row r="1" spans="1:8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65</v>
      </c>
      <c r="H1" t="s">
        <v>5</v>
      </c>
    </row>
    <row r="2" spans="1:8">
      <c r="A2" s="1">
        <v>40148</v>
      </c>
      <c r="B2" s="2" t="s">
        <v>9</v>
      </c>
      <c r="C2">
        <v>271.10000000000002</v>
      </c>
      <c r="D2">
        <v>2</v>
      </c>
      <c r="E2">
        <v>2</v>
      </c>
      <c r="F2">
        <v>160</v>
      </c>
      <c r="G2">
        <f>YEAR(tbl_kpi_country[[#This Row],[InvoiceMonth]])*100 + MONTH(tbl_kpi_country[[#This Row],[InvoiceMonth]])</f>
        <v>200912</v>
      </c>
      <c r="H2">
        <v>135.55000000000001</v>
      </c>
    </row>
    <row r="3" spans="1:8">
      <c r="A3" s="1">
        <v>40210</v>
      </c>
      <c r="B3" s="2" t="s">
        <v>9</v>
      </c>
      <c r="C3">
        <v>1029.6600000000001</v>
      </c>
      <c r="D3">
        <v>3</v>
      </c>
      <c r="E3">
        <v>3</v>
      </c>
      <c r="F3">
        <v>624</v>
      </c>
      <c r="G3">
        <f>YEAR(tbl_kpi_country[[#This Row],[InvoiceMonth]])*100 + MONTH(tbl_kpi_country[[#This Row],[InvoiceMonth]])</f>
        <v>201002</v>
      </c>
      <c r="H3">
        <v>343.22</v>
      </c>
    </row>
    <row r="4" spans="1:8">
      <c r="A4" s="1">
        <v>40238</v>
      </c>
      <c r="B4" s="2" t="s">
        <v>9</v>
      </c>
      <c r="C4">
        <v>429.39</v>
      </c>
      <c r="D4">
        <v>2</v>
      </c>
      <c r="E4">
        <v>2</v>
      </c>
      <c r="F4">
        <v>191</v>
      </c>
      <c r="G4">
        <f>YEAR(tbl_kpi_country[[#This Row],[InvoiceMonth]])*100 + MONTH(tbl_kpi_country[[#This Row],[InvoiceMonth]])</f>
        <v>201003</v>
      </c>
      <c r="H4">
        <v>214.69499999999999</v>
      </c>
    </row>
    <row r="5" spans="1:8">
      <c r="A5" s="1">
        <v>40269</v>
      </c>
      <c r="B5" s="2" t="s">
        <v>9</v>
      </c>
      <c r="C5">
        <v>630.95000000000005</v>
      </c>
      <c r="D5">
        <v>2</v>
      </c>
      <c r="E5">
        <v>2</v>
      </c>
      <c r="F5">
        <v>560</v>
      </c>
      <c r="G5">
        <f>YEAR(tbl_kpi_country[[#This Row],[InvoiceMonth]])*100 + MONTH(tbl_kpi_country[[#This Row],[InvoiceMonth]])</f>
        <v>201004</v>
      </c>
      <c r="H5">
        <v>315.47500000000002</v>
      </c>
    </row>
    <row r="6" spans="1:8">
      <c r="A6" s="1">
        <v>40299</v>
      </c>
      <c r="B6" s="2" t="s">
        <v>9</v>
      </c>
      <c r="C6">
        <v>2371.15</v>
      </c>
      <c r="D6">
        <v>6</v>
      </c>
      <c r="E6">
        <v>4</v>
      </c>
      <c r="F6">
        <v>667</v>
      </c>
      <c r="G6">
        <f>YEAR(tbl_kpi_country[[#This Row],[InvoiceMonth]])*100 + MONTH(tbl_kpi_country[[#This Row],[InvoiceMonth]])</f>
        <v>201005</v>
      </c>
      <c r="H6">
        <v>395.19166666666666</v>
      </c>
    </row>
    <row r="7" spans="1:8">
      <c r="A7" s="1">
        <v>40330</v>
      </c>
      <c r="B7" s="2" t="s">
        <v>9</v>
      </c>
      <c r="C7">
        <v>3214.78</v>
      </c>
      <c r="D7">
        <v>3</v>
      </c>
      <c r="E7">
        <v>3</v>
      </c>
      <c r="F7">
        <v>2280</v>
      </c>
      <c r="G7">
        <f>YEAR(tbl_kpi_country[[#This Row],[InvoiceMonth]])*100 + MONTH(tbl_kpi_country[[#This Row],[InvoiceMonth]])</f>
        <v>201006</v>
      </c>
      <c r="H7">
        <v>1071.5933333333335</v>
      </c>
    </row>
    <row r="8" spans="1:8">
      <c r="A8" s="1">
        <v>40360</v>
      </c>
      <c r="B8" s="2" t="s">
        <v>9</v>
      </c>
      <c r="C8">
        <v>686.12</v>
      </c>
      <c r="D8">
        <v>3</v>
      </c>
      <c r="E8">
        <v>2</v>
      </c>
      <c r="F8">
        <v>224</v>
      </c>
      <c r="G8">
        <f>YEAR(tbl_kpi_country[[#This Row],[InvoiceMonth]])*100 + MONTH(tbl_kpi_country[[#This Row],[InvoiceMonth]])</f>
        <v>201007</v>
      </c>
      <c r="H8">
        <v>228.70666666666668</v>
      </c>
    </row>
    <row r="9" spans="1:8">
      <c r="A9" s="1">
        <v>40391</v>
      </c>
      <c r="B9" s="2" t="s">
        <v>9</v>
      </c>
      <c r="C9">
        <v>176</v>
      </c>
      <c r="D9">
        <v>1</v>
      </c>
      <c r="E9">
        <v>1</v>
      </c>
      <c r="F9">
        <v>88</v>
      </c>
      <c r="G9">
        <f>YEAR(tbl_kpi_country[[#This Row],[InvoiceMonth]])*100 + MONTH(tbl_kpi_country[[#This Row],[InvoiceMonth]])</f>
        <v>201008</v>
      </c>
      <c r="H9">
        <v>176</v>
      </c>
    </row>
    <row r="10" spans="1:8">
      <c r="A10" s="1">
        <v>40422</v>
      </c>
      <c r="B10" s="2" t="s">
        <v>9</v>
      </c>
      <c r="C10">
        <v>785.83</v>
      </c>
      <c r="D10">
        <v>2</v>
      </c>
      <c r="E10">
        <v>2</v>
      </c>
      <c r="F10">
        <v>293</v>
      </c>
      <c r="G10">
        <f>YEAR(tbl_kpi_country[[#This Row],[InvoiceMonth]])*100 + MONTH(tbl_kpi_country[[#This Row],[InvoiceMonth]])</f>
        <v>201009</v>
      </c>
      <c r="H10">
        <v>392.91500000000002</v>
      </c>
    </row>
    <row r="11" spans="1:8">
      <c r="A11" s="1">
        <v>40452</v>
      </c>
      <c r="B11" s="2" t="s">
        <v>9</v>
      </c>
      <c r="C11">
        <v>2989.15</v>
      </c>
      <c r="D11">
        <v>9</v>
      </c>
      <c r="E11">
        <v>8</v>
      </c>
      <c r="F11">
        <v>1881</v>
      </c>
      <c r="G11">
        <f>YEAR(tbl_kpi_country[[#This Row],[InvoiceMonth]])*100 + MONTH(tbl_kpi_country[[#This Row],[InvoiceMonth]])</f>
        <v>201010</v>
      </c>
      <c r="H11">
        <v>332.12777777777779</v>
      </c>
    </row>
    <row r="12" spans="1:8">
      <c r="A12" s="1">
        <v>40483</v>
      </c>
      <c r="B12" s="2" t="s">
        <v>9</v>
      </c>
      <c r="C12">
        <v>18245.52</v>
      </c>
      <c r="D12">
        <v>5</v>
      </c>
      <c r="E12">
        <v>4</v>
      </c>
      <c r="F12">
        <v>12900</v>
      </c>
      <c r="G12">
        <f>YEAR(tbl_kpi_country[[#This Row],[InvoiceMonth]])*100 + MONTH(tbl_kpi_country[[#This Row],[InvoiceMonth]])</f>
        <v>201011</v>
      </c>
      <c r="H12">
        <v>3649.1040000000003</v>
      </c>
    </row>
    <row r="13" spans="1:8">
      <c r="A13" s="1">
        <v>40513</v>
      </c>
      <c r="B13" s="2" t="s">
        <v>9</v>
      </c>
      <c r="C13">
        <v>1582.5</v>
      </c>
      <c r="D13">
        <v>3</v>
      </c>
      <c r="E13">
        <v>2</v>
      </c>
      <c r="F13">
        <v>778</v>
      </c>
      <c r="G13">
        <f>YEAR(tbl_kpi_country[[#This Row],[InvoiceMonth]])*100 + MONTH(tbl_kpi_country[[#This Row],[InvoiceMonth]])</f>
        <v>201012</v>
      </c>
      <c r="H13">
        <v>527.5</v>
      </c>
    </row>
    <row r="14" spans="1:8">
      <c r="A14" s="1">
        <v>40544</v>
      </c>
      <c r="B14" s="2" t="s">
        <v>9</v>
      </c>
      <c r="C14">
        <v>9017.7100000000009</v>
      </c>
      <c r="D14">
        <v>9</v>
      </c>
      <c r="E14">
        <v>7</v>
      </c>
      <c r="F14">
        <v>5644</v>
      </c>
      <c r="G14">
        <f>YEAR(tbl_kpi_country[[#This Row],[InvoiceMonth]])*100 + MONTH(tbl_kpi_country[[#This Row],[InvoiceMonth]])</f>
        <v>201101</v>
      </c>
      <c r="H14">
        <v>1001.9677777777779</v>
      </c>
    </row>
    <row r="15" spans="1:8">
      <c r="A15" s="1">
        <v>40575</v>
      </c>
      <c r="B15" s="2" t="s">
        <v>9</v>
      </c>
      <c r="C15">
        <v>14695.42</v>
      </c>
      <c r="D15">
        <v>5</v>
      </c>
      <c r="E15">
        <v>4</v>
      </c>
      <c r="F15">
        <v>8680</v>
      </c>
      <c r="G15">
        <f>YEAR(tbl_kpi_country[[#This Row],[InvoiceMonth]])*100 + MONTH(tbl_kpi_country[[#This Row],[InvoiceMonth]])</f>
        <v>201102</v>
      </c>
      <c r="H15">
        <v>2939.0839999999998</v>
      </c>
    </row>
    <row r="16" spans="1:8">
      <c r="A16" s="1">
        <v>40603</v>
      </c>
      <c r="B16" s="2" t="s">
        <v>9</v>
      </c>
      <c r="C16">
        <v>17223.990000000002</v>
      </c>
      <c r="D16">
        <v>3</v>
      </c>
      <c r="E16">
        <v>3</v>
      </c>
      <c r="F16">
        <v>10439</v>
      </c>
      <c r="G16">
        <f>YEAR(tbl_kpi_country[[#This Row],[InvoiceMonth]])*100 + MONTH(tbl_kpi_country[[#This Row],[InvoiceMonth]])</f>
        <v>201103</v>
      </c>
      <c r="H16">
        <v>5741.3300000000008</v>
      </c>
    </row>
    <row r="17" spans="1:8">
      <c r="A17" s="1">
        <v>40634</v>
      </c>
      <c r="B17" s="2" t="s">
        <v>9</v>
      </c>
      <c r="C17">
        <v>771.6</v>
      </c>
      <c r="D17">
        <v>2</v>
      </c>
      <c r="E17">
        <v>2</v>
      </c>
      <c r="F17">
        <v>225</v>
      </c>
      <c r="G17">
        <f>YEAR(tbl_kpi_country[[#This Row],[InvoiceMonth]])*100 + MONTH(tbl_kpi_country[[#This Row],[InvoiceMonth]])</f>
        <v>201104</v>
      </c>
      <c r="H17">
        <v>385.8</v>
      </c>
    </row>
    <row r="18" spans="1:8">
      <c r="A18" s="1">
        <v>40664</v>
      </c>
      <c r="B18" s="2" t="s">
        <v>9</v>
      </c>
      <c r="C18">
        <v>13638.41</v>
      </c>
      <c r="D18">
        <v>4</v>
      </c>
      <c r="E18">
        <v>2</v>
      </c>
      <c r="F18">
        <v>8999</v>
      </c>
      <c r="G18">
        <f>YEAR(tbl_kpi_country[[#This Row],[InvoiceMonth]])*100 + MONTH(tbl_kpi_country[[#This Row],[InvoiceMonth]])</f>
        <v>201105</v>
      </c>
      <c r="H18">
        <v>3409.6025</v>
      </c>
    </row>
    <row r="19" spans="1:8">
      <c r="A19" s="1">
        <v>40695</v>
      </c>
      <c r="B19" s="2" t="s">
        <v>9</v>
      </c>
      <c r="C19">
        <v>25187.77</v>
      </c>
      <c r="D19">
        <v>4</v>
      </c>
      <c r="E19">
        <v>2</v>
      </c>
      <c r="F19">
        <v>15981</v>
      </c>
      <c r="G19">
        <f>YEAR(tbl_kpi_country[[#This Row],[InvoiceMonth]])*100 + MONTH(tbl_kpi_country[[#This Row],[InvoiceMonth]])</f>
        <v>201106</v>
      </c>
      <c r="H19">
        <v>6296.9425000000001</v>
      </c>
    </row>
    <row r="20" spans="1:8">
      <c r="A20" s="1">
        <v>40725</v>
      </c>
      <c r="B20" s="2" t="s">
        <v>9</v>
      </c>
      <c r="C20">
        <v>4964.38</v>
      </c>
      <c r="D20">
        <v>7</v>
      </c>
      <c r="E20">
        <v>3</v>
      </c>
      <c r="F20">
        <v>5318</v>
      </c>
      <c r="G20">
        <f>YEAR(tbl_kpi_country[[#This Row],[InvoiceMonth]])*100 + MONTH(tbl_kpi_country[[#This Row],[InvoiceMonth]])</f>
        <v>201107</v>
      </c>
      <c r="H20">
        <v>709.19714285714292</v>
      </c>
    </row>
    <row r="21" spans="1:8">
      <c r="A21" s="1">
        <v>40756</v>
      </c>
      <c r="B21" s="2" t="s">
        <v>9</v>
      </c>
      <c r="C21">
        <v>22489.200000000001</v>
      </c>
      <c r="D21">
        <v>2</v>
      </c>
      <c r="E21">
        <v>2</v>
      </c>
      <c r="F21">
        <v>12570</v>
      </c>
      <c r="G21">
        <f>YEAR(tbl_kpi_country[[#This Row],[InvoiceMonth]])*100 + MONTH(tbl_kpi_country[[#This Row],[InvoiceMonth]])</f>
        <v>201108</v>
      </c>
      <c r="H21">
        <v>11244.6</v>
      </c>
    </row>
    <row r="22" spans="1:8">
      <c r="A22" s="1">
        <v>40787</v>
      </c>
      <c r="B22" s="2" t="s">
        <v>9</v>
      </c>
      <c r="C22">
        <v>5106.7300000000005</v>
      </c>
      <c r="D22">
        <v>8</v>
      </c>
      <c r="E22">
        <v>6</v>
      </c>
      <c r="F22">
        <v>4079</v>
      </c>
      <c r="G22">
        <f>YEAR(tbl_kpi_country[[#This Row],[InvoiceMonth]])*100 + MONTH(tbl_kpi_country[[#This Row],[InvoiceMonth]])</f>
        <v>201109</v>
      </c>
      <c r="H22">
        <v>638.34125000000006</v>
      </c>
    </row>
    <row r="23" spans="1:8">
      <c r="A23" s="1">
        <v>40817</v>
      </c>
      <c r="B23" s="2" t="s">
        <v>9</v>
      </c>
      <c r="C23">
        <v>17150.53</v>
      </c>
      <c r="D23">
        <v>4</v>
      </c>
      <c r="E23">
        <v>2</v>
      </c>
      <c r="F23">
        <v>7401</v>
      </c>
      <c r="G23">
        <f>YEAR(tbl_kpi_country[[#This Row],[InvoiceMonth]])*100 + MONTH(tbl_kpi_country[[#This Row],[InvoiceMonth]])</f>
        <v>201110</v>
      </c>
      <c r="H23">
        <v>4287.6324999999997</v>
      </c>
    </row>
    <row r="24" spans="1:8">
      <c r="A24" s="1">
        <v>40848</v>
      </c>
      <c r="B24" s="2" t="s">
        <v>9</v>
      </c>
      <c r="C24">
        <v>7242.72</v>
      </c>
      <c r="D24">
        <v>6</v>
      </c>
      <c r="E24">
        <v>3</v>
      </c>
      <c r="F24">
        <v>4098</v>
      </c>
      <c r="G24">
        <f>YEAR(tbl_kpi_country[[#This Row],[InvoiceMonth]])*100 + MONTH(tbl_kpi_country[[#This Row],[InvoiceMonth]])</f>
        <v>201111</v>
      </c>
      <c r="H24">
        <v>1207.1200000000001</v>
      </c>
    </row>
    <row r="25" spans="1:8">
      <c r="A25" s="1">
        <v>40148</v>
      </c>
      <c r="B25" s="2" t="s">
        <v>10</v>
      </c>
      <c r="C25">
        <v>1998.3400000000001</v>
      </c>
      <c r="D25">
        <v>2</v>
      </c>
      <c r="E25">
        <v>2</v>
      </c>
      <c r="F25">
        <v>564</v>
      </c>
      <c r="G25">
        <f>YEAR(tbl_kpi_country[[#This Row],[InvoiceMonth]])*100 + MONTH(tbl_kpi_country[[#This Row],[InvoiceMonth]])</f>
        <v>200912</v>
      </c>
      <c r="H25">
        <v>999.17000000000007</v>
      </c>
    </row>
    <row r="26" spans="1:8">
      <c r="A26" s="1">
        <v>40210</v>
      </c>
      <c r="B26" s="2" t="s">
        <v>10</v>
      </c>
      <c r="C26">
        <v>1118.8600000000001</v>
      </c>
      <c r="D26">
        <v>3</v>
      </c>
      <c r="E26">
        <v>3</v>
      </c>
      <c r="F26">
        <v>480</v>
      </c>
      <c r="G26">
        <f>YEAR(tbl_kpi_country[[#This Row],[InvoiceMonth]])*100 + MONTH(tbl_kpi_country[[#This Row],[InvoiceMonth]])</f>
        <v>201002</v>
      </c>
      <c r="H26">
        <v>372.95333333333338</v>
      </c>
    </row>
    <row r="27" spans="1:8">
      <c r="A27" s="1">
        <v>40238</v>
      </c>
      <c r="B27" s="2" t="s">
        <v>10</v>
      </c>
      <c r="C27">
        <v>925.13</v>
      </c>
      <c r="D27">
        <v>5</v>
      </c>
      <c r="E27">
        <v>4</v>
      </c>
      <c r="F27">
        <v>401</v>
      </c>
      <c r="G27">
        <f>YEAR(tbl_kpi_country[[#This Row],[InvoiceMonth]])*100 + MONTH(tbl_kpi_country[[#This Row],[InvoiceMonth]])</f>
        <v>201003</v>
      </c>
      <c r="H27">
        <v>185.02600000000001</v>
      </c>
    </row>
    <row r="28" spans="1:8">
      <c r="A28" s="1">
        <v>40269</v>
      </c>
      <c r="B28" s="2" t="s">
        <v>10</v>
      </c>
      <c r="C28">
        <v>1388.54</v>
      </c>
      <c r="D28">
        <v>1</v>
      </c>
      <c r="E28">
        <v>1</v>
      </c>
      <c r="F28">
        <v>798</v>
      </c>
      <c r="G28">
        <f>YEAR(tbl_kpi_country[[#This Row],[InvoiceMonth]])*100 + MONTH(tbl_kpi_country[[#This Row],[InvoiceMonth]])</f>
        <v>201004</v>
      </c>
      <c r="H28">
        <v>1388.54</v>
      </c>
    </row>
    <row r="29" spans="1:8">
      <c r="A29" s="1">
        <v>40299</v>
      </c>
      <c r="B29" s="2" t="s">
        <v>10</v>
      </c>
      <c r="C29">
        <v>622.04</v>
      </c>
      <c r="D29">
        <v>1</v>
      </c>
      <c r="E29">
        <v>1</v>
      </c>
      <c r="F29">
        <v>655</v>
      </c>
      <c r="G29">
        <f>YEAR(tbl_kpi_country[[#This Row],[InvoiceMonth]])*100 + MONTH(tbl_kpi_country[[#This Row],[InvoiceMonth]])</f>
        <v>201005</v>
      </c>
      <c r="H29">
        <v>622.04</v>
      </c>
    </row>
    <row r="30" spans="1:8">
      <c r="A30" s="1">
        <v>40330</v>
      </c>
      <c r="B30" s="2" t="s">
        <v>10</v>
      </c>
      <c r="C30">
        <v>268.10000000000002</v>
      </c>
      <c r="D30">
        <v>1</v>
      </c>
      <c r="E30">
        <v>1</v>
      </c>
      <c r="F30">
        <v>281</v>
      </c>
      <c r="G30">
        <f>YEAR(tbl_kpi_country[[#This Row],[InvoiceMonth]])*100 + MONTH(tbl_kpi_country[[#This Row],[InvoiceMonth]])</f>
        <v>201006</v>
      </c>
      <c r="H30">
        <v>268.10000000000002</v>
      </c>
    </row>
    <row r="31" spans="1:8">
      <c r="A31" s="1">
        <v>40391</v>
      </c>
      <c r="B31" s="2" t="s">
        <v>10</v>
      </c>
      <c r="C31">
        <v>1043.1500000000001</v>
      </c>
      <c r="D31">
        <v>1</v>
      </c>
      <c r="E31">
        <v>1</v>
      </c>
      <c r="F31">
        <v>689</v>
      </c>
      <c r="G31">
        <f>YEAR(tbl_kpi_country[[#This Row],[InvoiceMonth]])*100 + MONTH(tbl_kpi_country[[#This Row],[InvoiceMonth]])</f>
        <v>201008</v>
      </c>
      <c r="H31">
        <v>1043.1500000000001</v>
      </c>
    </row>
    <row r="32" spans="1:8">
      <c r="A32" s="1">
        <v>40422</v>
      </c>
      <c r="B32" s="2" t="s">
        <v>10</v>
      </c>
      <c r="C32">
        <v>1940.17</v>
      </c>
      <c r="D32">
        <v>5</v>
      </c>
      <c r="E32">
        <v>3</v>
      </c>
      <c r="F32">
        <v>1217</v>
      </c>
      <c r="G32">
        <f>YEAR(tbl_kpi_country[[#This Row],[InvoiceMonth]])*100 + MONTH(tbl_kpi_country[[#This Row],[InvoiceMonth]])</f>
        <v>201009</v>
      </c>
      <c r="H32">
        <v>388.03399999999999</v>
      </c>
    </row>
    <row r="33" spans="1:8">
      <c r="A33" s="1">
        <v>40452</v>
      </c>
      <c r="B33" s="2" t="s">
        <v>10</v>
      </c>
      <c r="C33">
        <v>1236.7</v>
      </c>
      <c r="D33">
        <v>4</v>
      </c>
      <c r="E33">
        <v>3</v>
      </c>
      <c r="F33">
        <v>351</v>
      </c>
      <c r="G33">
        <f>YEAR(tbl_kpi_country[[#This Row],[InvoiceMonth]])*100 + MONTH(tbl_kpi_country[[#This Row],[InvoiceMonth]])</f>
        <v>201010</v>
      </c>
      <c r="H33">
        <v>309.17500000000001</v>
      </c>
    </row>
    <row r="34" spans="1:8">
      <c r="A34" s="1">
        <v>40483</v>
      </c>
      <c r="B34" s="2" t="s">
        <v>10</v>
      </c>
      <c r="C34">
        <v>2873.3</v>
      </c>
      <c r="D34">
        <v>5</v>
      </c>
      <c r="E34">
        <v>4</v>
      </c>
      <c r="F34">
        <v>1261</v>
      </c>
      <c r="G34">
        <f>YEAR(tbl_kpi_country[[#This Row],[InvoiceMonth]])*100 + MONTH(tbl_kpi_country[[#This Row],[InvoiceMonth]])</f>
        <v>201011</v>
      </c>
      <c r="H34">
        <v>574.66000000000008</v>
      </c>
    </row>
    <row r="35" spans="1:8">
      <c r="A35" s="1">
        <v>40513</v>
      </c>
      <c r="B35" s="2" t="s">
        <v>10</v>
      </c>
      <c r="C35">
        <v>277.2</v>
      </c>
      <c r="D35">
        <v>1</v>
      </c>
      <c r="E35">
        <v>1</v>
      </c>
      <c r="F35">
        <v>51</v>
      </c>
      <c r="G35">
        <f>YEAR(tbl_kpi_country[[#This Row],[InvoiceMonth]])*100 + MONTH(tbl_kpi_country[[#This Row],[InvoiceMonth]])</f>
        <v>201012</v>
      </c>
      <c r="H35">
        <v>277.2</v>
      </c>
    </row>
    <row r="36" spans="1:8">
      <c r="A36" s="1">
        <v>40575</v>
      </c>
      <c r="B36" s="2" t="s">
        <v>10</v>
      </c>
      <c r="C36">
        <v>518.36</v>
      </c>
      <c r="D36">
        <v>2</v>
      </c>
      <c r="E36">
        <v>2</v>
      </c>
      <c r="F36">
        <v>342</v>
      </c>
      <c r="G36">
        <f>YEAR(tbl_kpi_country[[#This Row],[InvoiceMonth]])*100 + MONTH(tbl_kpi_country[[#This Row],[InvoiceMonth]])</f>
        <v>201102</v>
      </c>
      <c r="H36">
        <v>259.18</v>
      </c>
    </row>
    <row r="37" spans="1:8">
      <c r="A37" s="1">
        <v>40603</v>
      </c>
      <c r="B37" s="2" t="s">
        <v>10</v>
      </c>
      <c r="C37">
        <v>1708.12</v>
      </c>
      <c r="D37">
        <v>2</v>
      </c>
      <c r="E37">
        <v>2</v>
      </c>
      <c r="F37">
        <v>982</v>
      </c>
      <c r="G37">
        <f>YEAR(tbl_kpi_country[[#This Row],[InvoiceMonth]])*100 + MONTH(tbl_kpi_country[[#This Row],[InvoiceMonth]])</f>
        <v>201103</v>
      </c>
      <c r="H37">
        <v>854.06</v>
      </c>
    </row>
    <row r="38" spans="1:8">
      <c r="A38" s="1">
        <v>40634</v>
      </c>
      <c r="B38" s="2" t="s">
        <v>10</v>
      </c>
      <c r="C38">
        <v>680.78</v>
      </c>
      <c r="D38">
        <v>2</v>
      </c>
      <c r="E38">
        <v>2</v>
      </c>
      <c r="F38">
        <v>311</v>
      </c>
      <c r="G38">
        <f>YEAR(tbl_kpi_country[[#This Row],[InvoiceMonth]])*100 + MONTH(tbl_kpi_country[[#This Row],[InvoiceMonth]])</f>
        <v>201104</v>
      </c>
      <c r="H38">
        <v>340.39</v>
      </c>
    </row>
    <row r="39" spans="1:8">
      <c r="A39" s="1">
        <v>40664</v>
      </c>
      <c r="B39" s="2" t="s">
        <v>10</v>
      </c>
      <c r="C39">
        <v>1249.43</v>
      </c>
      <c r="D39">
        <v>2</v>
      </c>
      <c r="E39">
        <v>2</v>
      </c>
      <c r="F39">
        <v>476</v>
      </c>
      <c r="G39">
        <f>YEAR(tbl_kpi_country[[#This Row],[InvoiceMonth]])*100 + MONTH(tbl_kpi_country[[#This Row],[InvoiceMonth]])</f>
        <v>201105</v>
      </c>
      <c r="H39">
        <v>624.71500000000003</v>
      </c>
    </row>
    <row r="40" spans="1:8">
      <c r="A40" s="1">
        <v>40725</v>
      </c>
      <c r="B40" s="2" t="s">
        <v>10</v>
      </c>
      <c r="C40">
        <v>1191.95</v>
      </c>
      <c r="D40">
        <v>2</v>
      </c>
      <c r="E40">
        <v>2</v>
      </c>
      <c r="F40">
        <v>573</v>
      </c>
      <c r="G40">
        <f>YEAR(tbl_kpi_country[[#This Row],[InvoiceMonth]])*100 + MONTH(tbl_kpi_country[[#This Row],[InvoiceMonth]])</f>
        <v>201107</v>
      </c>
      <c r="H40">
        <v>595.97500000000002</v>
      </c>
    </row>
    <row r="41" spans="1:8">
      <c r="A41" s="1">
        <v>40756</v>
      </c>
      <c r="B41" s="2" t="s">
        <v>10</v>
      </c>
      <c r="C41">
        <v>1516.08</v>
      </c>
      <c r="D41">
        <v>2</v>
      </c>
      <c r="E41">
        <v>2</v>
      </c>
      <c r="F41">
        <v>790</v>
      </c>
      <c r="G41">
        <f>YEAR(tbl_kpi_country[[#This Row],[InvoiceMonth]])*100 + MONTH(tbl_kpi_country[[#This Row],[InvoiceMonth]])</f>
        <v>201108</v>
      </c>
      <c r="H41">
        <v>758.04</v>
      </c>
    </row>
    <row r="42" spans="1:8">
      <c r="A42" s="1">
        <v>40817</v>
      </c>
      <c r="B42" s="2" t="s">
        <v>10</v>
      </c>
      <c r="C42">
        <v>1043.78</v>
      </c>
      <c r="D42">
        <v>1</v>
      </c>
      <c r="E42">
        <v>1</v>
      </c>
      <c r="F42">
        <v>491</v>
      </c>
      <c r="G42">
        <f>YEAR(tbl_kpi_country[[#This Row],[InvoiceMonth]])*100 + MONTH(tbl_kpi_country[[#This Row],[InvoiceMonth]])</f>
        <v>201110</v>
      </c>
      <c r="H42">
        <v>1043.78</v>
      </c>
    </row>
    <row r="43" spans="1:8">
      <c r="A43" s="1">
        <v>40848</v>
      </c>
      <c r="B43" s="2" t="s">
        <v>10</v>
      </c>
      <c r="C43">
        <v>1329.78</v>
      </c>
      <c r="D43">
        <v>2</v>
      </c>
      <c r="E43">
        <v>2</v>
      </c>
      <c r="F43">
        <v>717</v>
      </c>
      <c r="G43">
        <f>YEAR(tbl_kpi_country[[#This Row],[InvoiceMonth]])*100 + MONTH(tbl_kpi_country[[#This Row],[InvoiceMonth]])</f>
        <v>201111</v>
      </c>
      <c r="H43">
        <v>664.89</v>
      </c>
    </row>
    <row r="44" spans="1:8">
      <c r="A44" s="1">
        <v>40878</v>
      </c>
      <c r="B44" s="2" t="s">
        <v>10</v>
      </c>
      <c r="C44">
        <v>683.2</v>
      </c>
      <c r="D44">
        <v>1</v>
      </c>
      <c r="E44">
        <v>1</v>
      </c>
      <c r="F44">
        <v>148</v>
      </c>
      <c r="G44">
        <f>YEAR(tbl_kpi_country[[#This Row],[InvoiceMonth]])*100 + MONTH(tbl_kpi_country[[#This Row],[InvoiceMonth]])</f>
        <v>201112</v>
      </c>
      <c r="H44">
        <v>683.2</v>
      </c>
    </row>
    <row r="45" spans="1:8">
      <c r="A45" s="1">
        <v>40299</v>
      </c>
      <c r="B45" s="2" t="s">
        <v>11</v>
      </c>
      <c r="C45">
        <v>488.21000000000004</v>
      </c>
      <c r="D45">
        <v>1</v>
      </c>
      <c r="E45">
        <v>1</v>
      </c>
      <c r="F45">
        <v>303</v>
      </c>
      <c r="G45">
        <f>YEAR(tbl_kpi_country[[#This Row],[InvoiceMonth]])*100 + MONTH(tbl_kpi_country[[#This Row],[InvoiceMonth]])</f>
        <v>201005</v>
      </c>
      <c r="H45">
        <v>488.21000000000004</v>
      </c>
    </row>
    <row r="46" spans="1:8">
      <c r="A46" s="1">
        <v>40452</v>
      </c>
      <c r="B46" s="2" t="s">
        <v>11</v>
      </c>
      <c r="C46">
        <v>317.76</v>
      </c>
      <c r="D46">
        <v>1</v>
      </c>
      <c r="E46">
        <v>1</v>
      </c>
      <c r="F46">
        <v>192</v>
      </c>
      <c r="G46">
        <f>YEAR(tbl_kpi_country[[#This Row],[InvoiceMonth]])*100 + MONTH(tbl_kpi_country[[#This Row],[InvoiceMonth]])</f>
        <v>201010</v>
      </c>
      <c r="H46">
        <v>317.76</v>
      </c>
    </row>
    <row r="47" spans="1:8">
      <c r="A47" s="1">
        <v>40664</v>
      </c>
      <c r="B47" s="2" t="s">
        <v>11</v>
      </c>
      <c r="C47">
        <v>548.4</v>
      </c>
      <c r="D47">
        <v>2</v>
      </c>
      <c r="E47">
        <v>2</v>
      </c>
      <c r="F47">
        <v>260</v>
      </c>
      <c r="G47">
        <f>YEAR(tbl_kpi_country[[#This Row],[InvoiceMonth]])*100 + MONTH(tbl_kpi_country[[#This Row],[InvoiceMonth]])</f>
        <v>201105</v>
      </c>
      <c r="H47">
        <v>274.2</v>
      </c>
    </row>
    <row r="48" spans="1:8">
      <c r="A48" s="1">
        <v>40148</v>
      </c>
      <c r="B48" s="2" t="s">
        <v>12</v>
      </c>
      <c r="C48">
        <v>447.6</v>
      </c>
      <c r="D48">
        <v>3</v>
      </c>
      <c r="E48">
        <v>2</v>
      </c>
      <c r="F48">
        <v>153</v>
      </c>
      <c r="G48">
        <f>YEAR(tbl_kpi_country[[#This Row],[InvoiceMonth]])*100 + MONTH(tbl_kpi_country[[#This Row],[InvoiceMonth]])</f>
        <v>200912</v>
      </c>
      <c r="H48">
        <v>149.20000000000002</v>
      </c>
    </row>
    <row r="49" spans="1:8">
      <c r="A49" s="1">
        <v>40179</v>
      </c>
      <c r="B49" s="2" t="s">
        <v>12</v>
      </c>
      <c r="C49">
        <v>1634.02</v>
      </c>
      <c r="D49">
        <v>4</v>
      </c>
      <c r="E49">
        <v>3</v>
      </c>
      <c r="F49">
        <v>717</v>
      </c>
      <c r="G49">
        <f>YEAR(tbl_kpi_country[[#This Row],[InvoiceMonth]])*100 + MONTH(tbl_kpi_country[[#This Row],[InvoiceMonth]])</f>
        <v>201001</v>
      </c>
      <c r="H49">
        <v>408.505</v>
      </c>
    </row>
    <row r="50" spans="1:8">
      <c r="A50" s="1">
        <v>40210</v>
      </c>
      <c r="B50" s="2" t="s">
        <v>12</v>
      </c>
      <c r="C50">
        <v>3209</v>
      </c>
      <c r="D50">
        <v>3</v>
      </c>
      <c r="E50">
        <v>2</v>
      </c>
      <c r="F50">
        <v>704</v>
      </c>
      <c r="G50">
        <f>YEAR(tbl_kpi_country[[#This Row],[InvoiceMonth]])*100 + MONTH(tbl_kpi_country[[#This Row],[InvoiceMonth]])</f>
        <v>201002</v>
      </c>
      <c r="H50">
        <v>1069.6666666666667</v>
      </c>
    </row>
    <row r="51" spans="1:8">
      <c r="A51" s="1">
        <v>40238</v>
      </c>
      <c r="B51" s="2" t="s">
        <v>12</v>
      </c>
      <c r="C51">
        <v>884.52</v>
      </c>
      <c r="D51">
        <v>3</v>
      </c>
      <c r="E51">
        <v>3</v>
      </c>
      <c r="F51">
        <v>481</v>
      </c>
      <c r="G51">
        <f>YEAR(tbl_kpi_country[[#This Row],[InvoiceMonth]])*100 + MONTH(tbl_kpi_country[[#This Row],[InvoiceMonth]])</f>
        <v>201003</v>
      </c>
      <c r="H51">
        <v>294.83999999999997</v>
      </c>
    </row>
    <row r="52" spans="1:8">
      <c r="A52" s="1">
        <v>40269</v>
      </c>
      <c r="B52" s="2" t="s">
        <v>12</v>
      </c>
      <c r="C52">
        <v>2570.39</v>
      </c>
      <c r="D52">
        <v>4</v>
      </c>
      <c r="E52">
        <v>4</v>
      </c>
      <c r="F52">
        <v>1445</v>
      </c>
      <c r="G52">
        <f>YEAR(tbl_kpi_country[[#This Row],[InvoiceMonth]])*100 + MONTH(tbl_kpi_country[[#This Row],[InvoiceMonth]])</f>
        <v>201004</v>
      </c>
      <c r="H52">
        <v>642.59749999999997</v>
      </c>
    </row>
    <row r="53" spans="1:8">
      <c r="A53" s="1">
        <v>40299</v>
      </c>
      <c r="B53" s="2" t="s">
        <v>12</v>
      </c>
      <c r="C53">
        <v>98.15</v>
      </c>
      <c r="D53">
        <v>1</v>
      </c>
      <c r="E53">
        <v>1</v>
      </c>
      <c r="F53">
        <v>38</v>
      </c>
      <c r="G53">
        <f>YEAR(tbl_kpi_country[[#This Row],[InvoiceMonth]])*100 + MONTH(tbl_kpi_country[[#This Row],[InvoiceMonth]])</f>
        <v>201005</v>
      </c>
      <c r="H53">
        <v>98.15</v>
      </c>
    </row>
    <row r="54" spans="1:8">
      <c r="A54" s="1">
        <v>40330</v>
      </c>
      <c r="B54" s="2" t="s">
        <v>12</v>
      </c>
      <c r="C54">
        <v>3800.34</v>
      </c>
      <c r="D54">
        <v>6</v>
      </c>
      <c r="E54">
        <v>4</v>
      </c>
      <c r="F54">
        <v>1588</v>
      </c>
      <c r="G54">
        <f>YEAR(tbl_kpi_country[[#This Row],[InvoiceMonth]])*100 + MONTH(tbl_kpi_country[[#This Row],[InvoiceMonth]])</f>
        <v>201006</v>
      </c>
      <c r="H54">
        <v>633.39</v>
      </c>
    </row>
    <row r="55" spans="1:8">
      <c r="A55" s="1">
        <v>40360</v>
      </c>
      <c r="B55" s="2" t="s">
        <v>12</v>
      </c>
      <c r="C55">
        <v>1914.23</v>
      </c>
      <c r="D55">
        <v>7</v>
      </c>
      <c r="E55">
        <v>6</v>
      </c>
      <c r="F55">
        <v>1393</v>
      </c>
      <c r="G55">
        <f>YEAR(tbl_kpi_country[[#This Row],[InvoiceMonth]])*100 + MONTH(tbl_kpi_country[[#This Row],[InvoiceMonth]])</f>
        <v>201007</v>
      </c>
      <c r="H55">
        <v>273.4614285714286</v>
      </c>
    </row>
    <row r="56" spans="1:8">
      <c r="A56" s="1">
        <v>40391</v>
      </c>
      <c r="B56" s="2" t="s">
        <v>12</v>
      </c>
      <c r="C56">
        <v>1713.62</v>
      </c>
      <c r="D56">
        <v>3</v>
      </c>
      <c r="E56">
        <v>3</v>
      </c>
      <c r="F56">
        <v>954</v>
      </c>
      <c r="G56">
        <f>YEAR(tbl_kpi_country[[#This Row],[InvoiceMonth]])*100 + MONTH(tbl_kpi_country[[#This Row],[InvoiceMonth]])</f>
        <v>201008</v>
      </c>
      <c r="H56">
        <v>571.20666666666659</v>
      </c>
    </row>
    <row r="57" spans="1:8">
      <c r="A57" s="1">
        <v>40422</v>
      </c>
      <c r="B57" s="2" t="s">
        <v>12</v>
      </c>
      <c r="C57">
        <v>1190.9100000000001</v>
      </c>
      <c r="D57">
        <v>5</v>
      </c>
      <c r="E57">
        <v>5</v>
      </c>
      <c r="F57">
        <v>651</v>
      </c>
      <c r="G57">
        <f>YEAR(tbl_kpi_country[[#This Row],[InvoiceMonth]])*100 + MONTH(tbl_kpi_country[[#This Row],[InvoiceMonth]])</f>
        <v>201009</v>
      </c>
      <c r="H57">
        <v>238.18200000000002</v>
      </c>
    </row>
    <row r="58" spans="1:8">
      <c r="A58" s="1">
        <v>40452</v>
      </c>
      <c r="B58" s="2" t="s">
        <v>12</v>
      </c>
      <c r="C58">
        <v>1475.72</v>
      </c>
      <c r="D58">
        <v>5</v>
      </c>
      <c r="E58">
        <v>4</v>
      </c>
      <c r="F58">
        <v>664</v>
      </c>
      <c r="G58">
        <f>YEAR(tbl_kpi_country[[#This Row],[InvoiceMonth]])*100 + MONTH(tbl_kpi_country[[#This Row],[InvoiceMonth]])</f>
        <v>201010</v>
      </c>
      <c r="H58">
        <v>295.14400000000001</v>
      </c>
    </row>
    <row r="59" spans="1:8">
      <c r="A59" s="1">
        <v>40483</v>
      </c>
      <c r="B59" s="2" t="s">
        <v>12</v>
      </c>
      <c r="C59">
        <v>5252.9800000000005</v>
      </c>
      <c r="D59">
        <v>7</v>
      </c>
      <c r="E59">
        <v>7</v>
      </c>
      <c r="F59">
        <v>2743</v>
      </c>
      <c r="G59">
        <f>YEAR(tbl_kpi_country[[#This Row],[InvoiceMonth]])*100 + MONTH(tbl_kpi_country[[#This Row],[InvoiceMonth]])</f>
        <v>201011</v>
      </c>
      <c r="H59">
        <v>750.42571428571432</v>
      </c>
    </row>
    <row r="60" spans="1:8">
      <c r="A60" s="1">
        <v>40513</v>
      </c>
      <c r="B60" s="2" t="s">
        <v>12</v>
      </c>
      <c r="C60">
        <v>2156.0100000000002</v>
      </c>
      <c r="D60">
        <v>5</v>
      </c>
      <c r="E60">
        <v>4</v>
      </c>
      <c r="F60">
        <v>2283</v>
      </c>
      <c r="G60">
        <f>YEAR(tbl_kpi_country[[#This Row],[InvoiceMonth]])*100 + MONTH(tbl_kpi_country[[#This Row],[InvoiceMonth]])</f>
        <v>201012</v>
      </c>
      <c r="H60">
        <v>431.20200000000006</v>
      </c>
    </row>
    <row r="61" spans="1:8">
      <c r="A61" s="1">
        <v>40544</v>
      </c>
      <c r="B61" s="2" t="s">
        <v>12</v>
      </c>
      <c r="C61">
        <v>1200.2</v>
      </c>
      <c r="D61">
        <v>3</v>
      </c>
      <c r="E61">
        <v>3</v>
      </c>
      <c r="F61">
        <v>792</v>
      </c>
      <c r="G61">
        <f>YEAR(tbl_kpi_country[[#This Row],[InvoiceMonth]])*100 + MONTH(tbl_kpi_country[[#This Row],[InvoiceMonth]])</f>
        <v>201101</v>
      </c>
      <c r="H61">
        <v>400.06666666666666</v>
      </c>
    </row>
    <row r="62" spans="1:8">
      <c r="A62" s="1">
        <v>40575</v>
      </c>
      <c r="B62" s="2" t="s">
        <v>12</v>
      </c>
      <c r="C62">
        <v>2181.0700000000002</v>
      </c>
      <c r="D62">
        <v>8</v>
      </c>
      <c r="E62">
        <v>7</v>
      </c>
      <c r="F62">
        <v>1102</v>
      </c>
      <c r="G62">
        <f>YEAR(tbl_kpi_country[[#This Row],[InvoiceMonth]])*100 + MONTH(tbl_kpi_country[[#This Row],[InvoiceMonth]])</f>
        <v>201102</v>
      </c>
      <c r="H62">
        <v>272.63375000000002</v>
      </c>
    </row>
    <row r="63" spans="1:8">
      <c r="A63" s="1">
        <v>40603</v>
      </c>
      <c r="B63" s="2" t="s">
        <v>12</v>
      </c>
      <c r="C63">
        <v>3351.98</v>
      </c>
      <c r="D63">
        <v>9</v>
      </c>
      <c r="E63">
        <v>8</v>
      </c>
      <c r="F63">
        <v>1783</v>
      </c>
      <c r="G63">
        <f>YEAR(tbl_kpi_country[[#This Row],[InvoiceMonth]])*100 + MONTH(tbl_kpi_country[[#This Row],[InvoiceMonth]])</f>
        <v>201103</v>
      </c>
      <c r="H63">
        <v>372.4422222222222</v>
      </c>
    </row>
    <row r="64" spans="1:8">
      <c r="A64" s="1">
        <v>40634</v>
      </c>
      <c r="B64" s="2" t="s">
        <v>12</v>
      </c>
      <c r="C64">
        <v>1989.48</v>
      </c>
      <c r="D64">
        <v>6</v>
      </c>
      <c r="E64">
        <v>6</v>
      </c>
      <c r="F64">
        <v>1183</v>
      </c>
      <c r="G64">
        <f>YEAR(tbl_kpi_country[[#This Row],[InvoiceMonth]])*100 + MONTH(tbl_kpi_country[[#This Row],[InvoiceMonth]])</f>
        <v>201104</v>
      </c>
      <c r="H64">
        <v>331.58</v>
      </c>
    </row>
    <row r="65" spans="1:8">
      <c r="A65" s="1">
        <v>40664</v>
      </c>
      <c r="B65" s="2" t="s">
        <v>12</v>
      </c>
      <c r="C65">
        <v>2732.4</v>
      </c>
      <c r="D65">
        <v>9</v>
      </c>
      <c r="E65">
        <v>7</v>
      </c>
      <c r="F65">
        <v>1829</v>
      </c>
      <c r="G65">
        <f>YEAR(tbl_kpi_country[[#This Row],[InvoiceMonth]])*100 + MONTH(tbl_kpi_country[[#This Row],[InvoiceMonth]])</f>
        <v>201105</v>
      </c>
      <c r="H65">
        <v>303.60000000000002</v>
      </c>
    </row>
    <row r="66" spans="1:8">
      <c r="A66" s="1">
        <v>40695</v>
      </c>
      <c r="B66" s="2" t="s">
        <v>12</v>
      </c>
      <c r="C66">
        <v>4274.82</v>
      </c>
      <c r="D66">
        <v>11</v>
      </c>
      <c r="E66">
        <v>11</v>
      </c>
      <c r="F66">
        <v>2245</v>
      </c>
      <c r="G66">
        <f>YEAR(tbl_kpi_country[[#This Row],[InvoiceMonth]])*100 + MONTH(tbl_kpi_country[[#This Row],[InvoiceMonth]])</f>
        <v>201106</v>
      </c>
      <c r="H66">
        <v>388.61999999999995</v>
      </c>
    </row>
    <row r="67" spans="1:8">
      <c r="A67" s="1">
        <v>40725</v>
      </c>
      <c r="B67" s="2" t="s">
        <v>12</v>
      </c>
      <c r="C67">
        <v>2475.5700000000002</v>
      </c>
      <c r="D67">
        <v>5</v>
      </c>
      <c r="E67">
        <v>4</v>
      </c>
      <c r="F67">
        <v>1679</v>
      </c>
      <c r="G67">
        <f>YEAR(tbl_kpi_country[[#This Row],[InvoiceMonth]])*100 + MONTH(tbl_kpi_country[[#This Row],[InvoiceMonth]])</f>
        <v>201107</v>
      </c>
      <c r="H67">
        <v>495.11400000000003</v>
      </c>
    </row>
    <row r="68" spans="1:8">
      <c r="A68" s="1">
        <v>40756</v>
      </c>
      <c r="B68" s="2" t="s">
        <v>12</v>
      </c>
      <c r="C68">
        <v>3554.02</v>
      </c>
      <c r="D68">
        <v>9</v>
      </c>
      <c r="E68">
        <v>8</v>
      </c>
      <c r="F68">
        <v>2069</v>
      </c>
      <c r="G68">
        <f>YEAR(tbl_kpi_country[[#This Row],[InvoiceMonth]])*100 + MONTH(tbl_kpi_country[[#This Row],[InvoiceMonth]])</f>
        <v>201108</v>
      </c>
      <c r="H68">
        <v>394.89111111111112</v>
      </c>
    </row>
    <row r="69" spans="1:8">
      <c r="A69" s="1">
        <v>40787</v>
      </c>
      <c r="B69" s="2" t="s">
        <v>12</v>
      </c>
      <c r="C69">
        <v>4208.0200000000004</v>
      </c>
      <c r="D69">
        <v>7</v>
      </c>
      <c r="E69">
        <v>7</v>
      </c>
      <c r="F69">
        <v>1969</v>
      </c>
      <c r="G69">
        <f>YEAR(tbl_kpi_country[[#This Row],[InvoiceMonth]])*100 + MONTH(tbl_kpi_country[[#This Row],[InvoiceMonth]])</f>
        <v>201109</v>
      </c>
      <c r="H69">
        <v>601.14571428571435</v>
      </c>
    </row>
    <row r="70" spans="1:8">
      <c r="A70" s="1">
        <v>40817</v>
      </c>
      <c r="B70" s="2" t="s">
        <v>12</v>
      </c>
      <c r="C70">
        <v>5685.38</v>
      </c>
      <c r="D70">
        <v>11</v>
      </c>
      <c r="E70">
        <v>9</v>
      </c>
      <c r="F70">
        <v>3170</v>
      </c>
      <c r="G70">
        <f>YEAR(tbl_kpi_country[[#This Row],[InvoiceMonth]])*100 + MONTH(tbl_kpi_country[[#This Row],[InvoiceMonth]])</f>
        <v>201110</v>
      </c>
      <c r="H70">
        <v>516.85272727272729</v>
      </c>
    </row>
    <row r="71" spans="1:8">
      <c r="A71" s="1">
        <v>40848</v>
      </c>
      <c r="B71" s="2" t="s">
        <v>12</v>
      </c>
      <c r="C71">
        <v>6315.76</v>
      </c>
      <c r="D71">
        <v>11</v>
      </c>
      <c r="E71">
        <v>8</v>
      </c>
      <c r="F71">
        <v>2560</v>
      </c>
      <c r="G71">
        <f>YEAR(tbl_kpi_country[[#This Row],[InvoiceMonth]])*100 + MONTH(tbl_kpi_country[[#This Row],[InvoiceMonth]])</f>
        <v>201111</v>
      </c>
      <c r="H71">
        <v>574.16</v>
      </c>
    </row>
    <row r="72" spans="1:8">
      <c r="A72" s="1">
        <v>40878</v>
      </c>
      <c r="B72" s="2" t="s">
        <v>12</v>
      </c>
      <c r="C72">
        <v>1417.73</v>
      </c>
      <c r="D72">
        <v>4</v>
      </c>
      <c r="E72">
        <v>4</v>
      </c>
      <c r="F72">
        <v>1101</v>
      </c>
      <c r="G72">
        <f>YEAR(tbl_kpi_country[[#This Row],[InvoiceMonth]])*100 + MONTH(tbl_kpi_country[[#This Row],[InvoiceMonth]])</f>
        <v>201112</v>
      </c>
      <c r="H72">
        <v>354.4325</v>
      </c>
    </row>
    <row r="73" spans="1:8">
      <c r="A73" s="1">
        <v>40422</v>
      </c>
      <c r="B73" s="2" t="s">
        <v>13</v>
      </c>
      <c r="C73">
        <v>268.27</v>
      </c>
      <c r="D73">
        <v>1</v>
      </c>
      <c r="E73">
        <v>1</v>
      </c>
      <c r="F73">
        <v>189</v>
      </c>
      <c r="G73">
        <f>YEAR(tbl_kpi_country[[#This Row],[InvoiceMonth]])*100 + MONTH(tbl_kpi_country[[#This Row],[InvoiceMonth]])</f>
        <v>201009</v>
      </c>
      <c r="H73">
        <v>268.27</v>
      </c>
    </row>
    <row r="74" spans="1:8">
      <c r="A74" s="1">
        <v>40634</v>
      </c>
      <c r="B74" s="2" t="s">
        <v>13</v>
      </c>
      <c r="C74">
        <v>1143.5999999999999</v>
      </c>
      <c r="D74">
        <v>1</v>
      </c>
      <c r="E74">
        <v>1</v>
      </c>
      <c r="F74">
        <v>356</v>
      </c>
      <c r="G74">
        <f>YEAR(tbl_kpi_country[[#This Row],[InvoiceMonth]])*100 + MONTH(tbl_kpi_country[[#This Row],[InvoiceMonth]])</f>
        <v>201104</v>
      </c>
      <c r="H74">
        <v>1143.5999999999999</v>
      </c>
    </row>
    <row r="75" spans="1:8">
      <c r="A75" s="1">
        <v>40452</v>
      </c>
      <c r="B75" s="2" t="s">
        <v>14</v>
      </c>
      <c r="C75">
        <v>834.89</v>
      </c>
      <c r="D75">
        <v>1</v>
      </c>
      <c r="E75">
        <v>1</v>
      </c>
      <c r="F75">
        <v>671</v>
      </c>
      <c r="G75">
        <f>YEAR(tbl_kpi_country[[#This Row],[InvoiceMonth]])*100 + MONTH(tbl_kpi_country[[#This Row],[InvoiceMonth]])</f>
        <v>201010</v>
      </c>
      <c r="H75">
        <v>834.89</v>
      </c>
    </row>
    <row r="76" spans="1:8">
      <c r="A76" s="1">
        <v>40483</v>
      </c>
      <c r="B76" s="2" t="s">
        <v>14</v>
      </c>
      <c r="C76">
        <v>381.77000000000004</v>
      </c>
      <c r="D76">
        <v>1</v>
      </c>
      <c r="E76">
        <v>1</v>
      </c>
      <c r="F76">
        <v>223</v>
      </c>
      <c r="G76">
        <f>YEAR(tbl_kpi_country[[#This Row],[InvoiceMonth]])*100 + MONTH(tbl_kpi_country[[#This Row],[InvoiceMonth]])</f>
        <v>201011</v>
      </c>
      <c r="H76">
        <v>381.77000000000004</v>
      </c>
    </row>
    <row r="77" spans="1:8">
      <c r="A77" s="1">
        <v>40603</v>
      </c>
      <c r="B77" s="2" t="s">
        <v>14</v>
      </c>
      <c r="C77">
        <v>140.54</v>
      </c>
      <c r="D77">
        <v>1</v>
      </c>
      <c r="E77">
        <v>1</v>
      </c>
      <c r="F77">
        <v>88</v>
      </c>
      <c r="G77">
        <f>YEAR(tbl_kpi_country[[#This Row],[InvoiceMonth]])*100 + MONTH(tbl_kpi_country[[#This Row],[InvoiceMonth]])</f>
        <v>201103</v>
      </c>
      <c r="H77">
        <v>140.54</v>
      </c>
    </row>
    <row r="78" spans="1:8">
      <c r="A78" s="1">
        <v>40664</v>
      </c>
      <c r="B78" s="2" t="s">
        <v>14</v>
      </c>
      <c r="C78">
        <v>534.24</v>
      </c>
      <c r="D78">
        <v>1</v>
      </c>
      <c r="E78">
        <v>1</v>
      </c>
      <c r="F78">
        <v>504</v>
      </c>
      <c r="G78">
        <f>YEAR(tbl_kpi_country[[#This Row],[InvoiceMonth]])*100 + MONTH(tbl_kpi_country[[#This Row],[InvoiceMonth]])</f>
        <v>201105</v>
      </c>
      <c r="H78">
        <v>534.24</v>
      </c>
    </row>
    <row r="79" spans="1:8">
      <c r="A79" s="1">
        <v>40695</v>
      </c>
      <c r="B79" s="2" t="s">
        <v>14</v>
      </c>
      <c r="C79">
        <v>1171.46</v>
      </c>
      <c r="D79">
        <v>1</v>
      </c>
      <c r="E79">
        <v>1</v>
      </c>
      <c r="F79">
        <v>1092</v>
      </c>
      <c r="G79">
        <f>YEAR(tbl_kpi_country[[#This Row],[InvoiceMonth]])*100 + MONTH(tbl_kpi_country[[#This Row],[InvoiceMonth]])</f>
        <v>201106</v>
      </c>
      <c r="H79">
        <v>1171.46</v>
      </c>
    </row>
    <row r="80" spans="1:8">
      <c r="A80" s="1">
        <v>40725</v>
      </c>
      <c r="B80" s="2" t="s">
        <v>14</v>
      </c>
      <c r="C80">
        <v>1768.58</v>
      </c>
      <c r="D80">
        <v>2</v>
      </c>
      <c r="E80">
        <v>1</v>
      </c>
      <c r="F80">
        <v>1027</v>
      </c>
      <c r="G80">
        <f>YEAR(tbl_kpi_country[[#This Row],[InvoiceMonth]])*100 + MONTH(tbl_kpi_country[[#This Row],[InvoiceMonth]])</f>
        <v>201107</v>
      </c>
      <c r="H80">
        <v>884.29</v>
      </c>
    </row>
    <row r="81" spans="1:8">
      <c r="A81" s="1">
        <v>40756</v>
      </c>
      <c r="B81" s="2" t="s">
        <v>14</v>
      </c>
      <c r="C81">
        <v>51.559999999999995</v>
      </c>
      <c r="D81">
        <v>1</v>
      </c>
      <c r="E81">
        <v>1</v>
      </c>
      <c r="F81">
        <v>52</v>
      </c>
      <c r="G81">
        <f>YEAR(tbl_kpi_country[[#This Row],[InvoiceMonth]])*100 + MONTH(tbl_kpi_country[[#This Row],[InvoiceMonth]])</f>
        <v>201108</v>
      </c>
      <c r="H81">
        <v>51.559999999999995</v>
      </c>
    </row>
    <row r="82" spans="1:8">
      <c r="A82" s="1">
        <v>40148</v>
      </c>
      <c r="B82" s="2" t="s">
        <v>15</v>
      </c>
      <c r="C82">
        <v>989.18</v>
      </c>
      <c r="D82">
        <v>1</v>
      </c>
      <c r="E82">
        <v>1</v>
      </c>
      <c r="F82">
        <v>439</v>
      </c>
      <c r="G82">
        <f>YEAR(tbl_kpi_country[[#This Row],[InvoiceMonth]])*100 + MONTH(tbl_kpi_country[[#This Row],[InvoiceMonth]])</f>
        <v>200912</v>
      </c>
      <c r="H82">
        <v>989.18</v>
      </c>
    </row>
    <row r="83" spans="1:8">
      <c r="A83" s="1">
        <v>40179</v>
      </c>
      <c r="B83" s="2" t="s">
        <v>15</v>
      </c>
      <c r="C83">
        <v>838.75</v>
      </c>
      <c r="D83">
        <v>1</v>
      </c>
      <c r="E83">
        <v>1</v>
      </c>
      <c r="F83">
        <v>193</v>
      </c>
      <c r="G83">
        <f>YEAR(tbl_kpi_country[[#This Row],[InvoiceMonth]])*100 + MONTH(tbl_kpi_country[[#This Row],[InvoiceMonth]])</f>
        <v>201001</v>
      </c>
      <c r="H83">
        <v>838.75</v>
      </c>
    </row>
    <row r="84" spans="1:8">
      <c r="A84" s="1">
        <v>40238</v>
      </c>
      <c r="B84" s="2" t="s">
        <v>15</v>
      </c>
      <c r="C84">
        <v>1065.1199999999999</v>
      </c>
      <c r="D84">
        <v>1</v>
      </c>
      <c r="E84">
        <v>1</v>
      </c>
      <c r="F84">
        <v>996</v>
      </c>
      <c r="G84">
        <f>YEAR(tbl_kpi_country[[#This Row],[InvoiceMonth]])*100 + MONTH(tbl_kpi_country[[#This Row],[InvoiceMonth]])</f>
        <v>201003</v>
      </c>
      <c r="H84">
        <v>1065.1199999999999</v>
      </c>
    </row>
    <row r="85" spans="1:8">
      <c r="A85" s="1">
        <v>40269</v>
      </c>
      <c r="B85" s="2" t="s">
        <v>15</v>
      </c>
      <c r="C85">
        <v>926.82</v>
      </c>
      <c r="D85">
        <v>1</v>
      </c>
      <c r="E85">
        <v>1</v>
      </c>
      <c r="F85">
        <v>367</v>
      </c>
      <c r="G85">
        <f>YEAR(tbl_kpi_country[[#This Row],[InvoiceMonth]])*100 + MONTH(tbl_kpi_country[[#This Row],[InvoiceMonth]])</f>
        <v>201004</v>
      </c>
      <c r="H85">
        <v>926.82</v>
      </c>
    </row>
    <row r="86" spans="1:8">
      <c r="A86" s="1">
        <v>40299</v>
      </c>
      <c r="B86" s="2" t="s">
        <v>15</v>
      </c>
      <c r="C86">
        <v>5378.52</v>
      </c>
      <c r="D86">
        <v>6</v>
      </c>
      <c r="E86">
        <v>4</v>
      </c>
      <c r="F86">
        <v>2403</v>
      </c>
      <c r="G86">
        <f>YEAR(tbl_kpi_country[[#This Row],[InvoiceMonth]])*100 + MONTH(tbl_kpi_country[[#This Row],[InvoiceMonth]])</f>
        <v>201005</v>
      </c>
      <c r="H86">
        <v>896.42000000000007</v>
      </c>
    </row>
    <row r="87" spans="1:8">
      <c r="A87" s="1">
        <v>40330</v>
      </c>
      <c r="B87" s="2" t="s">
        <v>15</v>
      </c>
      <c r="C87">
        <v>845</v>
      </c>
      <c r="D87">
        <v>1</v>
      </c>
      <c r="E87">
        <v>1</v>
      </c>
      <c r="F87">
        <v>500</v>
      </c>
      <c r="G87">
        <f>YEAR(tbl_kpi_country[[#This Row],[InvoiceMonth]])*100 + MONTH(tbl_kpi_country[[#This Row],[InvoiceMonth]])</f>
        <v>201006</v>
      </c>
      <c r="H87">
        <v>845</v>
      </c>
    </row>
    <row r="88" spans="1:8">
      <c r="A88" s="1">
        <v>40391</v>
      </c>
      <c r="B88" s="2" t="s">
        <v>15</v>
      </c>
      <c r="C88">
        <v>1363.14</v>
      </c>
      <c r="D88">
        <v>2</v>
      </c>
      <c r="E88">
        <v>2</v>
      </c>
      <c r="F88">
        <v>662</v>
      </c>
      <c r="G88">
        <f>YEAR(tbl_kpi_country[[#This Row],[InvoiceMonth]])*100 + MONTH(tbl_kpi_country[[#This Row],[InvoiceMonth]])</f>
        <v>201008</v>
      </c>
      <c r="H88">
        <v>681.57</v>
      </c>
    </row>
    <row r="89" spans="1:8">
      <c r="A89" s="1">
        <v>40422</v>
      </c>
      <c r="B89" s="2" t="s">
        <v>15</v>
      </c>
      <c r="C89">
        <v>6156.34</v>
      </c>
      <c r="D89">
        <v>9</v>
      </c>
      <c r="E89">
        <v>5</v>
      </c>
      <c r="F89">
        <v>3341</v>
      </c>
      <c r="G89">
        <f>YEAR(tbl_kpi_country[[#This Row],[InvoiceMonth]])*100 + MONTH(tbl_kpi_country[[#This Row],[InvoiceMonth]])</f>
        <v>201009</v>
      </c>
      <c r="H89">
        <v>684.03777777777782</v>
      </c>
    </row>
    <row r="90" spans="1:8">
      <c r="A90" s="1">
        <v>40452</v>
      </c>
      <c r="B90" s="2" t="s">
        <v>15</v>
      </c>
      <c r="C90">
        <v>4341.1899999999996</v>
      </c>
      <c r="D90">
        <v>4</v>
      </c>
      <c r="E90">
        <v>3</v>
      </c>
      <c r="F90">
        <v>1899</v>
      </c>
      <c r="G90">
        <f>YEAR(tbl_kpi_country[[#This Row],[InvoiceMonth]])*100 + MONTH(tbl_kpi_country[[#This Row],[InvoiceMonth]])</f>
        <v>201010</v>
      </c>
      <c r="H90">
        <v>1085.2974999999999</v>
      </c>
    </row>
    <row r="91" spans="1:8">
      <c r="A91" s="1">
        <v>40483</v>
      </c>
      <c r="B91" s="2" t="s">
        <v>15</v>
      </c>
      <c r="C91">
        <v>2278.73</v>
      </c>
      <c r="D91">
        <v>3</v>
      </c>
      <c r="E91">
        <v>3</v>
      </c>
      <c r="F91">
        <v>1111</v>
      </c>
      <c r="G91">
        <f>YEAR(tbl_kpi_country[[#This Row],[InvoiceMonth]])*100 + MONTH(tbl_kpi_country[[#This Row],[InvoiceMonth]])</f>
        <v>201011</v>
      </c>
      <c r="H91">
        <v>759.57666666666671</v>
      </c>
    </row>
    <row r="92" spans="1:8">
      <c r="A92" s="1">
        <v>40513</v>
      </c>
      <c r="B92" s="2" t="s">
        <v>15</v>
      </c>
      <c r="C92">
        <v>727.06</v>
      </c>
      <c r="D92">
        <v>1</v>
      </c>
      <c r="E92">
        <v>1</v>
      </c>
      <c r="F92">
        <v>160</v>
      </c>
      <c r="G92">
        <f>YEAR(tbl_kpi_country[[#This Row],[InvoiceMonth]])*100 + MONTH(tbl_kpi_country[[#This Row],[InvoiceMonth]])</f>
        <v>201012</v>
      </c>
      <c r="H92">
        <v>727.06</v>
      </c>
    </row>
    <row r="93" spans="1:8">
      <c r="A93" s="1">
        <v>40544</v>
      </c>
      <c r="B93" s="2" t="s">
        <v>15</v>
      </c>
      <c r="C93">
        <v>675.58</v>
      </c>
      <c r="D93">
        <v>1</v>
      </c>
      <c r="E93">
        <v>1</v>
      </c>
      <c r="F93">
        <v>259</v>
      </c>
      <c r="G93">
        <f>YEAR(tbl_kpi_country[[#This Row],[InvoiceMonth]])*100 + MONTH(tbl_kpi_country[[#This Row],[InvoiceMonth]])</f>
        <v>201101</v>
      </c>
      <c r="H93">
        <v>675.58</v>
      </c>
    </row>
    <row r="94" spans="1:8">
      <c r="A94" s="1">
        <v>40575</v>
      </c>
      <c r="B94" s="2" t="s">
        <v>15</v>
      </c>
      <c r="C94">
        <v>1784.71</v>
      </c>
      <c r="D94">
        <v>1</v>
      </c>
      <c r="E94">
        <v>1</v>
      </c>
      <c r="F94">
        <v>935</v>
      </c>
      <c r="G94">
        <f>YEAR(tbl_kpi_country[[#This Row],[InvoiceMonth]])*100 + MONTH(tbl_kpi_country[[#This Row],[InvoiceMonth]])</f>
        <v>201102</v>
      </c>
      <c r="H94">
        <v>1784.71</v>
      </c>
    </row>
    <row r="95" spans="1:8">
      <c r="A95" s="1">
        <v>40603</v>
      </c>
      <c r="B95" s="2" t="s">
        <v>15</v>
      </c>
      <c r="C95">
        <v>3509.33</v>
      </c>
      <c r="D95">
        <v>3</v>
      </c>
      <c r="E95">
        <v>3</v>
      </c>
      <c r="F95">
        <v>2104</v>
      </c>
      <c r="G95">
        <f>YEAR(tbl_kpi_country[[#This Row],[InvoiceMonth]])*100 + MONTH(tbl_kpi_country[[#This Row],[InvoiceMonth]])</f>
        <v>201103</v>
      </c>
      <c r="H95">
        <v>1169.7766666666666</v>
      </c>
    </row>
    <row r="96" spans="1:8">
      <c r="A96" s="1">
        <v>40634</v>
      </c>
      <c r="B96" s="2" t="s">
        <v>15</v>
      </c>
      <c r="C96">
        <v>293</v>
      </c>
      <c r="D96">
        <v>1</v>
      </c>
      <c r="E96">
        <v>1</v>
      </c>
      <c r="F96">
        <v>97</v>
      </c>
      <c r="G96">
        <f>YEAR(tbl_kpi_country[[#This Row],[InvoiceMonth]])*100 + MONTH(tbl_kpi_country[[#This Row],[InvoiceMonth]])</f>
        <v>201104</v>
      </c>
      <c r="H96">
        <v>293</v>
      </c>
    </row>
    <row r="97" spans="1:8">
      <c r="A97" s="1">
        <v>40664</v>
      </c>
      <c r="B97" s="2" t="s">
        <v>15</v>
      </c>
      <c r="C97">
        <v>1207.24</v>
      </c>
      <c r="D97">
        <v>2</v>
      </c>
      <c r="E97">
        <v>2</v>
      </c>
      <c r="F97">
        <v>224</v>
      </c>
      <c r="G97">
        <f>YEAR(tbl_kpi_country[[#This Row],[InvoiceMonth]])*100 + MONTH(tbl_kpi_country[[#This Row],[InvoiceMonth]])</f>
        <v>201105</v>
      </c>
      <c r="H97">
        <v>603.62</v>
      </c>
    </row>
    <row r="98" spans="1:8">
      <c r="A98" s="1">
        <v>40695</v>
      </c>
      <c r="B98" s="2" t="s">
        <v>15</v>
      </c>
      <c r="C98">
        <v>2060.0299999999997</v>
      </c>
      <c r="D98">
        <v>1</v>
      </c>
      <c r="E98">
        <v>1</v>
      </c>
      <c r="F98">
        <v>836</v>
      </c>
      <c r="G98">
        <f>YEAR(tbl_kpi_country[[#This Row],[InvoiceMonth]])*100 + MONTH(tbl_kpi_country[[#This Row],[InvoiceMonth]])</f>
        <v>201106</v>
      </c>
      <c r="H98">
        <v>2060.0299999999997</v>
      </c>
    </row>
    <row r="99" spans="1:8">
      <c r="A99" s="1">
        <v>40756</v>
      </c>
      <c r="B99" s="2" t="s">
        <v>15</v>
      </c>
      <c r="C99">
        <v>4886.88</v>
      </c>
      <c r="D99">
        <v>5</v>
      </c>
      <c r="E99">
        <v>4</v>
      </c>
      <c r="F99">
        <v>2003</v>
      </c>
      <c r="G99">
        <f>YEAR(tbl_kpi_country[[#This Row],[InvoiceMonth]])*100 + MONTH(tbl_kpi_country[[#This Row],[InvoiceMonth]])</f>
        <v>201108</v>
      </c>
      <c r="H99">
        <v>977.37599999999998</v>
      </c>
    </row>
    <row r="100" spans="1:8">
      <c r="A100" s="1">
        <v>40787</v>
      </c>
      <c r="B100" s="2" t="s">
        <v>15</v>
      </c>
      <c r="C100">
        <v>1323.75</v>
      </c>
      <c r="D100">
        <v>2</v>
      </c>
      <c r="E100">
        <v>2</v>
      </c>
      <c r="F100">
        <v>764</v>
      </c>
      <c r="G100">
        <f>YEAR(tbl_kpi_country[[#This Row],[InvoiceMonth]])*100 + MONTH(tbl_kpi_country[[#This Row],[InvoiceMonth]])</f>
        <v>201109</v>
      </c>
      <c r="H100">
        <v>661.875</v>
      </c>
    </row>
    <row r="101" spans="1:8">
      <c r="A101" s="1">
        <v>40817</v>
      </c>
      <c r="B101" s="2" t="s">
        <v>15</v>
      </c>
      <c r="C101">
        <v>2623.32</v>
      </c>
      <c r="D101">
        <v>5</v>
      </c>
      <c r="E101">
        <v>2</v>
      </c>
      <c r="F101">
        <v>1407</v>
      </c>
      <c r="G101">
        <f>YEAR(tbl_kpi_country[[#This Row],[InvoiceMonth]])*100 + MONTH(tbl_kpi_country[[#This Row],[InvoiceMonth]])</f>
        <v>201110</v>
      </c>
      <c r="H101">
        <v>524.66399999999999</v>
      </c>
    </row>
    <row r="102" spans="1:8">
      <c r="A102" s="1">
        <v>40848</v>
      </c>
      <c r="B102" s="2" t="s">
        <v>15</v>
      </c>
      <c r="C102">
        <v>1514.77</v>
      </c>
      <c r="D102">
        <v>3</v>
      </c>
      <c r="E102">
        <v>2</v>
      </c>
      <c r="F102">
        <v>716</v>
      </c>
      <c r="G102">
        <f>YEAR(tbl_kpi_country[[#This Row],[InvoiceMonth]])*100 + MONTH(tbl_kpi_country[[#This Row],[InvoiceMonth]])</f>
        <v>201111</v>
      </c>
      <c r="H102">
        <v>504.92333333333335</v>
      </c>
    </row>
    <row r="103" spans="1:8">
      <c r="A103" s="1">
        <v>40878</v>
      </c>
      <c r="B103" s="2" t="s">
        <v>15</v>
      </c>
      <c r="C103">
        <v>198.4</v>
      </c>
      <c r="D103">
        <v>1</v>
      </c>
      <c r="E103">
        <v>1</v>
      </c>
      <c r="F103">
        <v>60</v>
      </c>
      <c r="G103">
        <f>YEAR(tbl_kpi_country[[#This Row],[InvoiceMonth]])*100 + MONTH(tbl_kpi_country[[#This Row],[InvoiceMonth]])</f>
        <v>201112</v>
      </c>
      <c r="H103">
        <v>198.4</v>
      </c>
    </row>
    <row r="104" spans="1:8">
      <c r="A104" s="1">
        <v>40148</v>
      </c>
      <c r="B104" s="2" t="s">
        <v>16</v>
      </c>
      <c r="C104">
        <v>3541.6800000000003</v>
      </c>
      <c r="D104">
        <v>4</v>
      </c>
      <c r="E104">
        <v>3</v>
      </c>
      <c r="F104">
        <v>1572</v>
      </c>
      <c r="G104">
        <f>YEAR(tbl_kpi_country[[#This Row],[InvoiceMonth]])*100 + MONTH(tbl_kpi_country[[#This Row],[InvoiceMonth]])</f>
        <v>200912</v>
      </c>
      <c r="H104">
        <v>885.42000000000007</v>
      </c>
    </row>
    <row r="105" spans="1:8">
      <c r="A105" s="1">
        <v>40179</v>
      </c>
      <c r="B105" s="2" t="s">
        <v>16</v>
      </c>
      <c r="C105">
        <v>76.52000000000001</v>
      </c>
      <c r="D105">
        <v>1</v>
      </c>
      <c r="E105">
        <v>1</v>
      </c>
      <c r="F105">
        <v>32</v>
      </c>
      <c r="G105">
        <f>YEAR(tbl_kpi_country[[#This Row],[InvoiceMonth]])*100 + MONTH(tbl_kpi_country[[#This Row],[InvoiceMonth]])</f>
        <v>201001</v>
      </c>
      <c r="H105">
        <v>76.52000000000001</v>
      </c>
    </row>
    <row r="106" spans="1:8">
      <c r="A106" s="1">
        <v>40210</v>
      </c>
      <c r="B106" s="2" t="s">
        <v>16</v>
      </c>
      <c r="C106">
        <v>750.49</v>
      </c>
      <c r="D106">
        <v>2</v>
      </c>
      <c r="E106">
        <v>1</v>
      </c>
      <c r="F106">
        <v>294</v>
      </c>
      <c r="G106">
        <f>YEAR(tbl_kpi_country[[#This Row],[InvoiceMonth]])*100 + MONTH(tbl_kpi_country[[#This Row],[InvoiceMonth]])</f>
        <v>201002</v>
      </c>
      <c r="H106">
        <v>375.245</v>
      </c>
    </row>
    <row r="107" spans="1:8">
      <c r="A107" s="1">
        <v>40238</v>
      </c>
      <c r="B107" s="2" t="s">
        <v>16</v>
      </c>
      <c r="C107">
        <v>2879.19</v>
      </c>
      <c r="D107">
        <v>5</v>
      </c>
      <c r="E107">
        <v>4</v>
      </c>
      <c r="F107">
        <v>1055</v>
      </c>
      <c r="G107">
        <f>YEAR(tbl_kpi_country[[#This Row],[InvoiceMonth]])*100 + MONTH(tbl_kpi_country[[#This Row],[InvoiceMonth]])</f>
        <v>201003</v>
      </c>
      <c r="H107">
        <v>575.83799999999997</v>
      </c>
    </row>
    <row r="108" spans="1:8">
      <c r="A108" s="1">
        <v>40269</v>
      </c>
      <c r="B108" s="2" t="s">
        <v>16</v>
      </c>
      <c r="C108">
        <v>1151.7</v>
      </c>
      <c r="D108">
        <v>2</v>
      </c>
      <c r="E108">
        <v>1</v>
      </c>
      <c r="F108">
        <v>459</v>
      </c>
      <c r="G108">
        <f>YEAR(tbl_kpi_country[[#This Row],[InvoiceMonth]])*100 + MONTH(tbl_kpi_country[[#This Row],[InvoiceMonth]])</f>
        <v>201004</v>
      </c>
      <c r="H108">
        <v>575.85</v>
      </c>
    </row>
    <row r="109" spans="1:8">
      <c r="A109" s="1">
        <v>40299</v>
      </c>
      <c r="B109" s="2" t="s">
        <v>16</v>
      </c>
      <c r="C109">
        <v>515.61</v>
      </c>
      <c r="D109">
        <v>1</v>
      </c>
      <c r="E109">
        <v>1</v>
      </c>
      <c r="F109">
        <v>144</v>
      </c>
      <c r="G109">
        <f>YEAR(tbl_kpi_country[[#This Row],[InvoiceMonth]])*100 + MONTH(tbl_kpi_country[[#This Row],[InvoiceMonth]])</f>
        <v>201005</v>
      </c>
      <c r="H109">
        <v>515.61</v>
      </c>
    </row>
    <row r="110" spans="1:8">
      <c r="A110" s="1">
        <v>40330</v>
      </c>
      <c r="B110" s="2" t="s">
        <v>16</v>
      </c>
      <c r="C110">
        <v>489.8</v>
      </c>
      <c r="D110">
        <v>1</v>
      </c>
      <c r="E110">
        <v>1</v>
      </c>
      <c r="F110">
        <v>100</v>
      </c>
      <c r="G110">
        <f>YEAR(tbl_kpi_country[[#This Row],[InvoiceMonth]])*100 + MONTH(tbl_kpi_country[[#This Row],[InvoiceMonth]])</f>
        <v>201006</v>
      </c>
      <c r="H110">
        <v>489.8</v>
      </c>
    </row>
    <row r="111" spans="1:8">
      <c r="A111" s="1">
        <v>40422</v>
      </c>
      <c r="B111" s="2" t="s">
        <v>16</v>
      </c>
      <c r="C111">
        <v>993.18000000000006</v>
      </c>
      <c r="D111">
        <v>3</v>
      </c>
      <c r="E111">
        <v>3</v>
      </c>
      <c r="F111">
        <v>493</v>
      </c>
      <c r="G111">
        <f>YEAR(tbl_kpi_country[[#This Row],[InvoiceMonth]])*100 + MONTH(tbl_kpi_country[[#This Row],[InvoiceMonth]])</f>
        <v>201009</v>
      </c>
      <c r="H111">
        <v>331.06</v>
      </c>
    </row>
    <row r="112" spans="1:8">
      <c r="A112" s="1">
        <v>40452</v>
      </c>
      <c r="B112" s="2" t="s">
        <v>16</v>
      </c>
      <c r="C112">
        <v>551.33000000000004</v>
      </c>
      <c r="D112">
        <v>1</v>
      </c>
      <c r="E112">
        <v>1</v>
      </c>
      <c r="F112">
        <v>253</v>
      </c>
      <c r="G112">
        <f>YEAR(tbl_kpi_country[[#This Row],[InvoiceMonth]])*100 + MONTH(tbl_kpi_country[[#This Row],[InvoiceMonth]])</f>
        <v>201010</v>
      </c>
      <c r="H112">
        <v>551.33000000000004</v>
      </c>
    </row>
    <row r="113" spans="1:8">
      <c r="A113" s="1">
        <v>40483</v>
      </c>
      <c r="B113" s="2" t="s">
        <v>16</v>
      </c>
      <c r="C113">
        <v>397.59999999999997</v>
      </c>
      <c r="D113">
        <v>1</v>
      </c>
      <c r="E113">
        <v>1</v>
      </c>
      <c r="F113">
        <v>208</v>
      </c>
      <c r="G113">
        <f>YEAR(tbl_kpi_country[[#This Row],[InvoiceMonth]])*100 + MONTH(tbl_kpi_country[[#This Row],[InvoiceMonth]])</f>
        <v>201011</v>
      </c>
      <c r="H113">
        <v>397.59999999999997</v>
      </c>
    </row>
    <row r="114" spans="1:8">
      <c r="A114" s="1">
        <v>40513</v>
      </c>
      <c r="B114" s="2" t="s">
        <v>16</v>
      </c>
      <c r="C114">
        <v>1587.07</v>
      </c>
      <c r="D114">
        <v>1</v>
      </c>
      <c r="E114">
        <v>1</v>
      </c>
      <c r="F114">
        <v>916</v>
      </c>
      <c r="G114">
        <f>YEAR(tbl_kpi_country[[#This Row],[InvoiceMonth]])*100 + MONTH(tbl_kpi_country[[#This Row],[InvoiceMonth]])</f>
        <v>201012</v>
      </c>
      <c r="H114">
        <v>1587.07</v>
      </c>
    </row>
    <row r="115" spans="1:8">
      <c r="A115" s="1">
        <v>40544</v>
      </c>
      <c r="B115" s="2" t="s">
        <v>16</v>
      </c>
      <c r="C115">
        <v>547.5</v>
      </c>
      <c r="D115">
        <v>1</v>
      </c>
      <c r="E115">
        <v>1</v>
      </c>
      <c r="F115">
        <v>144</v>
      </c>
      <c r="G115">
        <f>YEAR(tbl_kpi_country[[#This Row],[InvoiceMonth]])*100 + MONTH(tbl_kpi_country[[#This Row],[InvoiceMonth]])</f>
        <v>201101</v>
      </c>
      <c r="H115">
        <v>547.5</v>
      </c>
    </row>
    <row r="116" spans="1:8">
      <c r="A116" s="1">
        <v>40575</v>
      </c>
      <c r="B116" s="2" t="s">
        <v>16</v>
      </c>
      <c r="C116">
        <v>4334.24</v>
      </c>
      <c r="D116">
        <v>6</v>
      </c>
      <c r="E116">
        <v>4</v>
      </c>
      <c r="F116">
        <v>2191</v>
      </c>
      <c r="G116">
        <f>YEAR(tbl_kpi_country[[#This Row],[InvoiceMonth]])*100 + MONTH(tbl_kpi_country[[#This Row],[InvoiceMonth]])</f>
        <v>201102</v>
      </c>
      <c r="H116">
        <v>722.37333333333333</v>
      </c>
    </row>
    <row r="117" spans="1:8">
      <c r="A117" s="1">
        <v>40603</v>
      </c>
      <c r="B117" s="2" t="s">
        <v>16</v>
      </c>
      <c r="C117">
        <v>938.39</v>
      </c>
      <c r="D117">
        <v>1</v>
      </c>
      <c r="E117">
        <v>1</v>
      </c>
      <c r="F117">
        <v>1005</v>
      </c>
      <c r="G117">
        <f>YEAR(tbl_kpi_country[[#This Row],[InvoiceMonth]])*100 + MONTH(tbl_kpi_country[[#This Row],[InvoiceMonth]])</f>
        <v>201103</v>
      </c>
      <c r="H117">
        <v>938.39</v>
      </c>
    </row>
    <row r="118" spans="1:8">
      <c r="A118" s="1">
        <v>40695</v>
      </c>
      <c r="B118" s="2" t="s">
        <v>16</v>
      </c>
      <c r="C118">
        <v>1109.32</v>
      </c>
      <c r="D118">
        <v>1</v>
      </c>
      <c r="E118">
        <v>1</v>
      </c>
      <c r="F118">
        <v>356</v>
      </c>
      <c r="G118">
        <f>YEAR(tbl_kpi_country[[#This Row],[InvoiceMonth]])*100 + MONTH(tbl_kpi_country[[#This Row],[InvoiceMonth]])</f>
        <v>201106</v>
      </c>
      <c r="H118">
        <v>1109.32</v>
      </c>
    </row>
    <row r="119" spans="1:8">
      <c r="A119" s="1">
        <v>40787</v>
      </c>
      <c r="B119" s="2" t="s">
        <v>16</v>
      </c>
      <c r="C119">
        <v>196.35</v>
      </c>
      <c r="D119">
        <v>1</v>
      </c>
      <c r="E119">
        <v>1</v>
      </c>
      <c r="F119">
        <v>33</v>
      </c>
      <c r="G119">
        <f>YEAR(tbl_kpi_country[[#This Row],[InvoiceMonth]])*100 + MONTH(tbl_kpi_country[[#This Row],[InvoiceMonth]])</f>
        <v>201109</v>
      </c>
      <c r="H119">
        <v>196.35</v>
      </c>
    </row>
    <row r="120" spans="1:8">
      <c r="A120" s="1">
        <v>40817</v>
      </c>
      <c r="B120" s="2" t="s">
        <v>16</v>
      </c>
      <c r="C120">
        <v>4350.32</v>
      </c>
      <c r="D120">
        <v>4</v>
      </c>
      <c r="E120">
        <v>4</v>
      </c>
      <c r="F120">
        <v>1402</v>
      </c>
      <c r="G120">
        <f>YEAR(tbl_kpi_country[[#This Row],[InvoiceMonth]])*100 + MONTH(tbl_kpi_country[[#This Row],[InvoiceMonth]])</f>
        <v>201110</v>
      </c>
      <c r="H120">
        <v>1087.58</v>
      </c>
    </row>
    <row r="121" spans="1:8">
      <c r="A121" s="1">
        <v>40848</v>
      </c>
      <c r="B121" s="2" t="s">
        <v>16</v>
      </c>
      <c r="C121">
        <v>439.66</v>
      </c>
      <c r="D121">
        <v>1</v>
      </c>
      <c r="E121">
        <v>1</v>
      </c>
      <c r="F121">
        <v>293</v>
      </c>
      <c r="G121">
        <f>YEAR(tbl_kpi_country[[#This Row],[InvoiceMonth]])*100 + MONTH(tbl_kpi_country[[#This Row],[InvoiceMonth]])</f>
        <v>201111</v>
      </c>
      <c r="H121">
        <v>439.66</v>
      </c>
    </row>
    <row r="122" spans="1:8">
      <c r="A122" s="1">
        <v>40575</v>
      </c>
      <c r="B122" s="2" t="s">
        <v>17</v>
      </c>
      <c r="C122">
        <v>549.26</v>
      </c>
      <c r="D122">
        <v>1</v>
      </c>
      <c r="E122">
        <v>1</v>
      </c>
      <c r="F122">
        <v>346</v>
      </c>
      <c r="G122">
        <f>YEAR(tbl_kpi_country[[#This Row],[InvoiceMonth]])*100 + MONTH(tbl_kpi_country[[#This Row],[InvoiceMonth]])</f>
        <v>201102</v>
      </c>
      <c r="H122">
        <v>549.26</v>
      </c>
    </row>
    <row r="123" spans="1:8">
      <c r="A123" s="1">
        <v>40817</v>
      </c>
      <c r="B123" s="2" t="s">
        <v>17</v>
      </c>
      <c r="C123">
        <v>277.48</v>
      </c>
      <c r="D123">
        <v>1</v>
      </c>
      <c r="E123">
        <v>1</v>
      </c>
      <c r="F123">
        <v>325</v>
      </c>
      <c r="G123">
        <f>YEAR(tbl_kpi_country[[#This Row],[InvoiceMonth]])*100 + MONTH(tbl_kpi_country[[#This Row],[InvoiceMonth]])</f>
        <v>201110</v>
      </c>
      <c r="H123">
        <v>277.48</v>
      </c>
    </row>
    <row r="124" spans="1:8">
      <c r="A124" s="1">
        <v>40148</v>
      </c>
      <c r="B124" s="2" t="s">
        <v>18</v>
      </c>
      <c r="C124">
        <v>1437.66</v>
      </c>
      <c r="D124">
        <v>2</v>
      </c>
      <c r="E124">
        <v>2</v>
      </c>
      <c r="F124">
        <v>574</v>
      </c>
      <c r="G124">
        <f>YEAR(tbl_kpi_country[[#This Row],[InvoiceMonth]])*100 + MONTH(tbl_kpi_country[[#This Row],[InvoiceMonth]])</f>
        <v>200912</v>
      </c>
      <c r="H124">
        <v>718.83</v>
      </c>
    </row>
    <row r="125" spans="1:8">
      <c r="A125" s="1">
        <v>40179</v>
      </c>
      <c r="B125" s="2" t="s">
        <v>18</v>
      </c>
      <c r="C125">
        <v>7870.6</v>
      </c>
      <c r="D125">
        <v>2</v>
      </c>
      <c r="E125">
        <v>2</v>
      </c>
      <c r="F125">
        <v>63754</v>
      </c>
      <c r="G125">
        <f>YEAR(tbl_kpi_country[[#This Row],[InvoiceMonth]])*100 + MONTH(tbl_kpi_country[[#This Row],[InvoiceMonth]])</f>
        <v>201001</v>
      </c>
      <c r="H125">
        <v>3935.3</v>
      </c>
    </row>
    <row r="126" spans="1:8">
      <c r="A126" s="1">
        <v>40210</v>
      </c>
      <c r="B126" s="2" t="s">
        <v>18</v>
      </c>
      <c r="C126">
        <v>19809.899999999998</v>
      </c>
      <c r="D126">
        <v>2</v>
      </c>
      <c r="E126">
        <v>1</v>
      </c>
      <c r="F126">
        <v>93230</v>
      </c>
      <c r="G126">
        <f>YEAR(tbl_kpi_country[[#This Row],[InvoiceMonth]])*100 + MONTH(tbl_kpi_country[[#This Row],[InvoiceMonth]])</f>
        <v>201002</v>
      </c>
      <c r="H126">
        <v>9904.9499999999989</v>
      </c>
    </row>
    <row r="127" spans="1:8">
      <c r="A127" s="1">
        <v>40238</v>
      </c>
      <c r="B127" s="2" t="s">
        <v>18</v>
      </c>
      <c r="C127">
        <v>7595.18</v>
      </c>
      <c r="D127">
        <v>2</v>
      </c>
      <c r="E127">
        <v>2</v>
      </c>
      <c r="F127">
        <v>64302</v>
      </c>
      <c r="G127">
        <f>YEAR(tbl_kpi_country[[#This Row],[InvoiceMonth]])*100 + MONTH(tbl_kpi_country[[#This Row],[InvoiceMonth]])</f>
        <v>201003</v>
      </c>
      <c r="H127">
        <v>3797.59</v>
      </c>
    </row>
    <row r="128" spans="1:8">
      <c r="A128" s="1">
        <v>40269</v>
      </c>
      <c r="B128" s="2" t="s">
        <v>18</v>
      </c>
      <c r="C128">
        <v>748</v>
      </c>
      <c r="D128">
        <v>1</v>
      </c>
      <c r="E128">
        <v>1</v>
      </c>
      <c r="F128">
        <v>576</v>
      </c>
      <c r="G128">
        <f>YEAR(tbl_kpi_country[[#This Row],[InvoiceMonth]])*100 + MONTH(tbl_kpi_country[[#This Row],[InvoiceMonth]])</f>
        <v>201004</v>
      </c>
      <c r="H128">
        <v>748</v>
      </c>
    </row>
    <row r="129" spans="1:8">
      <c r="A129" s="1">
        <v>40330</v>
      </c>
      <c r="B129" s="2" t="s">
        <v>18</v>
      </c>
      <c r="C129">
        <v>2695.5099999999998</v>
      </c>
      <c r="D129">
        <v>4</v>
      </c>
      <c r="E129">
        <v>3</v>
      </c>
      <c r="F129">
        <v>1887</v>
      </c>
      <c r="G129">
        <f>YEAR(tbl_kpi_country[[#This Row],[InvoiceMonth]])*100 + MONTH(tbl_kpi_country[[#This Row],[InvoiceMonth]])</f>
        <v>201006</v>
      </c>
      <c r="H129">
        <v>673.87749999999994</v>
      </c>
    </row>
    <row r="130" spans="1:8">
      <c r="A130" s="1">
        <v>40360</v>
      </c>
      <c r="B130" s="2" t="s">
        <v>18</v>
      </c>
      <c r="C130">
        <v>591.66000000000008</v>
      </c>
      <c r="D130">
        <v>1</v>
      </c>
      <c r="E130">
        <v>1</v>
      </c>
      <c r="F130">
        <v>164</v>
      </c>
      <c r="G130">
        <f>YEAR(tbl_kpi_country[[#This Row],[InvoiceMonth]])*100 + MONTH(tbl_kpi_country[[#This Row],[InvoiceMonth]])</f>
        <v>201007</v>
      </c>
      <c r="H130">
        <v>591.66000000000008</v>
      </c>
    </row>
    <row r="131" spans="1:8">
      <c r="A131" s="1">
        <v>40391</v>
      </c>
      <c r="B131" s="2" t="s">
        <v>18</v>
      </c>
      <c r="C131">
        <v>2643.03</v>
      </c>
      <c r="D131">
        <v>3</v>
      </c>
      <c r="E131">
        <v>3</v>
      </c>
      <c r="F131">
        <v>1520</v>
      </c>
      <c r="G131">
        <f>YEAR(tbl_kpi_country[[#This Row],[InvoiceMonth]])*100 + MONTH(tbl_kpi_country[[#This Row],[InvoiceMonth]])</f>
        <v>201008</v>
      </c>
      <c r="H131">
        <v>881.0100000000001</v>
      </c>
    </row>
    <row r="132" spans="1:8">
      <c r="A132" s="1">
        <v>40422</v>
      </c>
      <c r="B132" s="2" t="s">
        <v>18</v>
      </c>
      <c r="C132">
        <v>1725.25</v>
      </c>
      <c r="D132">
        <v>3</v>
      </c>
      <c r="E132">
        <v>2</v>
      </c>
      <c r="F132">
        <v>1307</v>
      </c>
      <c r="G132">
        <f>YEAR(tbl_kpi_country[[#This Row],[InvoiceMonth]])*100 + MONTH(tbl_kpi_country[[#This Row],[InvoiceMonth]])</f>
        <v>201009</v>
      </c>
      <c r="H132">
        <v>575.08333333333337</v>
      </c>
    </row>
    <row r="133" spans="1:8">
      <c r="A133" s="1">
        <v>40452</v>
      </c>
      <c r="B133" s="2" t="s">
        <v>18</v>
      </c>
      <c r="C133">
        <v>448.6</v>
      </c>
      <c r="D133">
        <v>2</v>
      </c>
      <c r="E133">
        <v>2</v>
      </c>
      <c r="F133">
        <v>169</v>
      </c>
      <c r="G133">
        <f>YEAR(tbl_kpi_country[[#This Row],[InvoiceMonth]])*100 + MONTH(tbl_kpi_country[[#This Row],[InvoiceMonth]])</f>
        <v>201010</v>
      </c>
      <c r="H133">
        <v>224.3</v>
      </c>
    </row>
    <row r="134" spans="1:8">
      <c r="A134" s="1">
        <v>40483</v>
      </c>
      <c r="B134" s="2" t="s">
        <v>18</v>
      </c>
      <c r="C134">
        <v>4059.96</v>
      </c>
      <c r="D134">
        <v>3</v>
      </c>
      <c r="E134">
        <v>3</v>
      </c>
      <c r="F134">
        <v>1753</v>
      </c>
      <c r="G134">
        <f>YEAR(tbl_kpi_country[[#This Row],[InvoiceMonth]])*100 + MONTH(tbl_kpi_country[[#This Row],[InvoiceMonth]])</f>
        <v>201011</v>
      </c>
      <c r="H134">
        <v>1353.32</v>
      </c>
    </row>
    <row r="135" spans="1:8">
      <c r="A135" s="1">
        <v>40513</v>
      </c>
      <c r="B135" s="2" t="s">
        <v>18</v>
      </c>
      <c r="C135">
        <v>2563</v>
      </c>
      <c r="D135">
        <v>1</v>
      </c>
      <c r="E135">
        <v>1</v>
      </c>
      <c r="F135">
        <v>908</v>
      </c>
      <c r="G135">
        <f>YEAR(tbl_kpi_country[[#This Row],[InvoiceMonth]])*100 + MONTH(tbl_kpi_country[[#This Row],[InvoiceMonth]])</f>
        <v>201012</v>
      </c>
      <c r="H135">
        <v>2563</v>
      </c>
    </row>
    <row r="136" spans="1:8">
      <c r="A136" s="1">
        <v>40575</v>
      </c>
      <c r="B136" s="2" t="s">
        <v>18</v>
      </c>
      <c r="C136">
        <v>399.22</v>
      </c>
      <c r="D136">
        <v>1</v>
      </c>
      <c r="E136">
        <v>1</v>
      </c>
      <c r="F136">
        <v>224</v>
      </c>
      <c r="G136">
        <f>YEAR(tbl_kpi_country[[#This Row],[InvoiceMonth]])*100 + MONTH(tbl_kpi_country[[#This Row],[InvoiceMonth]])</f>
        <v>201102</v>
      </c>
      <c r="H136">
        <v>399.22</v>
      </c>
    </row>
    <row r="137" spans="1:8">
      <c r="A137" s="1">
        <v>40603</v>
      </c>
      <c r="B137" s="2" t="s">
        <v>18</v>
      </c>
      <c r="C137">
        <v>3978.9900000000002</v>
      </c>
      <c r="D137">
        <v>1</v>
      </c>
      <c r="E137">
        <v>1</v>
      </c>
      <c r="F137">
        <v>879</v>
      </c>
      <c r="G137">
        <f>YEAR(tbl_kpi_country[[#This Row],[InvoiceMonth]])*100 + MONTH(tbl_kpi_country[[#This Row],[InvoiceMonth]])</f>
        <v>201103</v>
      </c>
      <c r="H137">
        <v>3978.9900000000002</v>
      </c>
    </row>
    <row r="138" spans="1:8">
      <c r="A138" s="1">
        <v>40664</v>
      </c>
      <c r="B138" s="2" t="s">
        <v>18</v>
      </c>
      <c r="C138">
        <v>515.70000000000005</v>
      </c>
      <c r="D138">
        <v>1</v>
      </c>
      <c r="E138">
        <v>1</v>
      </c>
      <c r="F138">
        <v>368</v>
      </c>
      <c r="G138">
        <f>YEAR(tbl_kpi_country[[#This Row],[InvoiceMonth]])*100 + MONTH(tbl_kpi_country[[#This Row],[InvoiceMonth]])</f>
        <v>201105</v>
      </c>
      <c r="H138">
        <v>515.70000000000005</v>
      </c>
    </row>
    <row r="139" spans="1:8">
      <c r="A139" s="1">
        <v>40695</v>
      </c>
      <c r="B139" s="2" t="s">
        <v>18</v>
      </c>
      <c r="C139">
        <v>3261.15</v>
      </c>
      <c r="D139">
        <v>3</v>
      </c>
      <c r="E139">
        <v>3</v>
      </c>
      <c r="F139">
        <v>1544</v>
      </c>
      <c r="G139">
        <f>YEAR(tbl_kpi_country[[#This Row],[InvoiceMonth]])*100 + MONTH(tbl_kpi_country[[#This Row],[InvoiceMonth]])</f>
        <v>201106</v>
      </c>
      <c r="H139">
        <v>1087.05</v>
      </c>
    </row>
    <row r="140" spans="1:8">
      <c r="A140" s="1">
        <v>40725</v>
      </c>
      <c r="B140" s="2" t="s">
        <v>18</v>
      </c>
      <c r="C140">
        <v>376.24</v>
      </c>
      <c r="D140">
        <v>1</v>
      </c>
      <c r="E140">
        <v>1</v>
      </c>
      <c r="F140">
        <v>241</v>
      </c>
      <c r="G140">
        <f>YEAR(tbl_kpi_country[[#This Row],[InvoiceMonth]])*100 + MONTH(tbl_kpi_country[[#This Row],[InvoiceMonth]])</f>
        <v>201107</v>
      </c>
      <c r="H140">
        <v>376.24</v>
      </c>
    </row>
    <row r="141" spans="1:8">
      <c r="A141" s="1">
        <v>40756</v>
      </c>
      <c r="B141" s="2" t="s">
        <v>18</v>
      </c>
      <c r="C141">
        <v>213.15</v>
      </c>
      <c r="D141">
        <v>1</v>
      </c>
      <c r="E141">
        <v>1</v>
      </c>
      <c r="F141">
        <v>338</v>
      </c>
      <c r="G141">
        <f>YEAR(tbl_kpi_country[[#This Row],[InvoiceMonth]])*100 + MONTH(tbl_kpi_country[[#This Row],[InvoiceMonth]])</f>
        <v>201108</v>
      </c>
      <c r="H141">
        <v>213.15</v>
      </c>
    </row>
    <row r="142" spans="1:8">
      <c r="A142" s="1">
        <v>40787</v>
      </c>
      <c r="B142" s="2" t="s">
        <v>18</v>
      </c>
      <c r="C142">
        <v>4570.16</v>
      </c>
      <c r="D142">
        <v>3</v>
      </c>
      <c r="E142">
        <v>3</v>
      </c>
      <c r="F142">
        <v>1608</v>
      </c>
      <c r="G142">
        <f>YEAR(tbl_kpi_country[[#This Row],[InvoiceMonth]])*100 + MONTH(tbl_kpi_country[[#This Row],[InvoiceMonth]])</f>
        <v>201109</v>
      </c>
      <c r="H142">
        <v>1523.3866666666665</v>
      </c>
    </row>
    <row r="143" spans="1:8">
      <c r="A143" s="1">
        <v>40817</v>
      </c>
      <c r="B143" s="2" t="s">
        <v>18</v>
      </c>
      <c r="C143">
        <v>1490.76</v>
      </c>
      <c r="D143">
        <v>3</v>
      </c>
      <c r="E143">
        <v>3</v>
      </c>
      <c r="F143">
        <v>869</v>
      </c>
      <c r="G143">
        <f>YEAR(tbl_kpi_country[[#This Row],[InvoiceMonth]])*100 + MONTH(tbl_kpi_country[[#This Row],[InvoiceMonth]])</f>
        <v>201110</v>
      </c>
      <c r="H143">
        <v>496.92</v>
      </c>
    </row>
    <row r="144" spans="1:8">
      <c r="A144" s="1">
        <v>40848</v>
      </c>
      <c r="B144" s="2" t="s">
        <v>18</v>
      </c>
      <c r="C144">
        <v>2699.57</v>
      </c>
      <c r="D144">
        <v>2</v>
      </c>
      <c r="E144">
        <v>2</v>
      </c>
      <c r="F144">
        <v>1537</v>
      </c>
      <c r="G144">
        <f>YEAR(tbl_kpi_country[[#This Row],[InvoiceMonth]])*100 + MONTH(tbl_kpi_country[[#This Row],[InvoiceMonth]])</f>
        <v>201111</v>
      </c>
      <c r="H144">
        <v>1349.7850000000001</v>
      </c>
    </row>
    <row r="145" spans="1:8">
      <c r="A145" s="1">
        <v>40878</v>
      </c>
      <c r="B145" s="2" t="s">
        <v>18</v>
      </c>
      <c r="C145">
        <v>168.9</v>
      </c>
      <c r="D145">
        <v>1</v>
      </c>
      <c r="E145">
        <v>1</v>
      </c>
      <c r="F145">
        <v>173</v>
      </c>
      <c r="G145">
        <f>YEAR(tbl_kpi_country[[#This Row],[InvoiceMonth]])*100 + MONTH(tbl_kpi_country[[#This Row],[InvoiceMonth]])</f>
        <v>201112</v>
      </c>
      <c r="H145">
        <v>168.9</v>
      </c>
    </row>
    <row r="146" spans="1:8">
      <c r="A146" s="1">
        <v>40148</v>
      </c>
      <c r="B146" s="2" t="s">
        <v>19</v>
      </c>
      <c r="C146">
        <v>18170.46</v>
      </c>
      <c r="D146">
        <v>16</v>
      </c>
      <c r="E146">
        <v>2</v>
      </c>
      <c r="F146">
        <v>8615</v>
      </c>
      <c r="G146">
        <f>YEAR(tbl_kpi_country[[#This Row],[InvoiceMonth]])*100 + MONTH(tbl_kpi_country[[#This Row],[InvoiceMonth]])</f>
        <v>200912</v>
      </c>
      <c r="H146">
        <v>1135.6537499999999</v>
      </c>
    </row>
    <row r="147" spans="1:8">
      <c r="A147" s="1">
        <v>40179</v>
      </c>
      <c r="B147" s="2" t="s">
        <v>19</v>
      </c>
      <c r="C147">
        <v>65031.41</v>
      </c>
      <c r="D147">
        <v>30</v>
      </c>
      <c r="E147">
        <v>5</v>
      </c>
      <c r="F147">
        <v>30807</v>
      </c>
      <c r="G147">
        <f>YEAR(tbl_kpi_country[[#This Row],[InvoiceMonth]])*100 + MONTH(tbl_kpi_country[[#This Row],[InvoiceMonth]])</f>
        <v>201001</v>
      </c>
      <c r="H147">
        <v>2167.713666666667</v>
      </c>
    </row>
    <row r="148" spans="1:8">
      <c r="A148" s="1">
        <v>40210</v>
      </c>
      <c r="B148" s="2" t="s">
        <v>19</v>
      </c>
      <c r="C148">
        <v>20206.46</v>
      </c>
      <c r="D148">
        <v>17</v>
      </c>
      <c r="E148">
        <v>3</v>
      </c>
      <c r="F148">
        <v>11249</v>
      </c>
      <c r="G148">
        <f>YEAR(tbl_kpi_country[[#This Row],[InvoiceMonth]])*100 + MONTH(tbl_kpi_country[[#This Row],[InvoiceMonth]])</f>
        <v>201002</v>
      </c>
      <c r="H148">
        <v>1188.615294117647</v>
      </c>
    </row>
    <row r="149" spans="1:8">
      <c r="A149" s="1">
        <v>40238</v>
      </c>
      <c r="B149" s="2" t="s">
        <v>19</v>
      </c>
      <c r="C149">
        <v>22989.46</v>
      </c>
      <c r="D149">
        <v>27</v>
      </c>
      <c r="E149">
        <v>3</v>
      </c>
      <c r="F149">
        <v>14797</v>
      </c>
      <c r="G149">
        <f>YEAR(tbl_kpi_country[[#This Row],[InvoiceMonth]])*100 + MONTH(tbl_kpi_country[[#This Row],[InvoiceMonth]])</f>
        <v>201003</v>
      </c>
      <c r="H149">
        <v>851.46148148148143</v>
      </c>
    </row>
    <row r="150" spans="1:8">
      <c r="A150" s="1">
        <v>40269</v>
      </c>
      <c r="B150" s="2" t="s">
        <v>19</v>
      </c>
      <c r="C150">
        <v>20668.080000000002</v>
      </c>
      <c r="D150">
        <v>16</v>
      </c>
      <c r="E150">
        <v>3</v>
      </c>
      <c r="F150">
        <v>11962</v>
      </c>
      <c r="G150">
        <f>YEAR(tbl_kpi_country[[#This Row],[InvoiceMonth]])*100 + MONTH(tbl_kpi_country[[#This Row],[InvoiceMonth]])</f>
        <v>201004</v>
      </c>
      <c r="H150">
        <v>1291.7550000000001</v>
      </c>
    </row>
    <row r="151" spans="1:8">
      <c r="A151" s="1">
        <v>40299</v>
      </c>
      <c r="B151" s="2" t="s">
        <v>19</v>
      </c>
      <c r="C151">
        <v>18430.91</v>
      </c>
      <c r="D151">
        <v>18</v>
      </c>
      <c r="E151">
        <v>2</v>
      </c>
      <c r="F151">
        <v>9401</v>
      </c>
      <c r="G151">
        <f>YEAR(tbl_kpi_country[[#This Row],[InvoiceMonth]])*100 + MONTH(tbl_kpi_country[[#This Row],[InvoiceMonth]])</f>
        <v>201005</v>
      </c>
      <c r="H151">
        <v>1023.9394444444445</v>
      </c>
    </row>
    <row r="152" spans="1:8">
      <c r="A152" s="1">
        <v>40330</v>
      </c>
      <c r="B152" s="2" t="s">
        <v>19</v>
      </c>
      <c r="C152">
        <v>22934.34</v>
      </c>
      <c r="D152">
        <v>24</v>
      </c>
      <c r="E152">
        <v>2</v>
      </c>
      <c r="F152">
        <v>12306</v>
      </c>
      <c r="G152">
        <f>YEAR(tbl_kpi_country[[#This Row],[InvoiceMonth]])*100 + MONTH(tbl_kpi_country[[#This Row],[InvoiceMonth]])</f>
        <v>201006</v>
      </c>
      <c r="H152">
        <v>955.59749999999997</v>
      </c>
    </row>
    <row r="153" spans="1:8">
      <c r="A153" s="1">
        <v>40360</v>
      </c>
      <c r="B153" s="2" t="s">
        <v>19</v>
      </c>
      <c r="C153">
        <v>31987.23</v>
      </c>
      <c r="D153">
        <v>22</v>
      </c>
      <c r="E153">
        <v>3</v>
      </c>
      <c r="F153">
        <v>13700</v>
      </c>
      <c r="G153">
        <f>YEAR(tbl_kpi_country[[#This Row],[InvoiceMonth]])*100 + MONTH(tbl_kpi_country[[#This Row],[InvoiceMonth]])</f>
        <v>201007</v>
      </c>
      <c r="H153">
        <v>1453.9649999999999</v>
      </c>
    </row>
    <row r="154" spans="1:8">
      <c r="A154" s="1">
        <v>40391</v>
      </c>
      <c r="B154" s="2" t="s">
        <v>19</v>
      </c>
      <c r="C154">
        <v>22919.360000000001</v>
      </c>
      <c r="D154">
        <v>23</v>
      </c>
      <c r="E154">
        <v>3</v>
      </c>
      <c r="F154">
        <v>14510</v>
      </c>
      <c r="G154">
        <f>YEAR(tbl_kpi_country[[#This Row],[InvoiceMonth]])*100 + MONTH(tbl_kpi_country[[#This Row],[InvoiceMonth]])</f>
        <v>201008</v>
      </c>
      <c r="H154">
        <v>996.4939130434783</v>
      </c>
    </row>
    <row r="155" spans="1:8">
      <c r="A155" s="1">
        <v>40422</v>
      </c>
      <c r="B155" s="2" t="s">
        <v>19</v>
      </c>
      <c r="C155">
        <v>36322.78</v>
      </c>
      <c r="D155">
        <v>34</v>
      </c>
      <c r="E155">
        <v>2</v>
      </c>
      <c r="F155">
        <v>19815</v>
      </c>
      <c r="G155">
        <f>YEAR(tbl_kpi_country[[#This Row],[InvoiceMonth]])*100 + MONTH(tbl_kpi_country[[#This Row],[InvoiceMonth]])</f>
        <v>201009</v>
      </c>
      <c r="H155">
        <v>1068.3170588235294</v>
      </c>
    </row>
    <row r="156" spans="1:8">
      <c r="A156" s="1">
        <v>40452</v>
      </c>
      <c r="B156" s="2" t="s">
        <v>19</v>
      </c>
      <c r="C156">
        <v>43929.86</v>
      </c>
      <c r="D156">
        <v>43</v>
      </c>
      <c r="E156">
        <v>2</v>
      </c>
      <c r="F156">
        <v>17302</v>
      </c>
      <c r="G156">
        <f>YEAR(tbl_kpi_country[[#This Row],[InvoiceMonth]])*100 + MONTH(tbl_kpi_country[[#This Row],[InvoiceMonth]])</f>
        <v>201010</v>
      </c>
      <c r="H156">
        <v>1021.6246511627907</v>
      </c>
    </row>
    <row r="157" spans="1:8">
      <c r="A157" s="1">
        <v>40483</v>
      </c>
      <c r="B157" s="2" t="s">
        <v>19</v>
      </c>
      <c r="C157">
        <v>27717.73</v>
      </c>
      <c r="D157">
        <v>37</v>
      </c>
      <c r="E157">
        <v>3</v>
      </c>
      <c r="F157">
        <v>13424</v>
      </c>
      <c r="G157">
        <f>YEAR(tbl_kpi_country[[#This Row],[InvoiceMonth]])*100 + MONTH(tbl_kpi_country[[#This Row],[InvoiceMonth]])</f>
        <v>201011</v>
      </c>
      <c r="H157">
        <v>749.12783783783777</v>
      </c>
    </row>
    <row r="158" spans="1:8">
      <c r="A158" s="1">
        <v>40513</v>
      </c>
      <c r="B158" s="2" t="s">
        <v>19</v>
      </c>
      <c r="C158">
        <v>13547.66</v>
      </c>
      <c r="D158">
        <v>15</v>
      </c>
      <c r="E158">
        <v>3</v>
      </c>
      <c r="F158">
        <v>8768</v>
      </c>
      <c r="G158">
        <f>YEAR(tbl_kpi_country[[#This Row],[InvoiceMonth]])*100 + MONTH(tbl_kpi_country[[#This Row],[InvoiceMonth]])</f>
        <v>201012</v>
      </c>
      <c r="H158">
        <v>903.17733333333331</v>
      </c>
    </row>
    <row r="159" spans="1:8">
      <c r="A159" s="1">
        <v>40544</v>
      </c>
      <c r="B159" s="2" t="s">
        <v>19</v>
      </c>
      <c r="C159">
        <v>21904.19</v>
      </c>
      <c r="D159">
        <v>7</v>
      </c>
      <c r="E159">
        <v>2</v>
      </c>
      <c r="F159">
        <v>8794</v>
      </c>
      <c r="G159">
        <f>YEAR(tbl_kpi_country[[#This Row],[InvoiceMonth]])*100 + MONTH(tbl_kpi_country[[#This Row],[InvoiceMonth]])</f>
        <v>201101</v>
      </c>
      <c r="H159">
        <v>3129.1699999999996</v>
      </c>
    </row>
    <row r="160" spans="1:8">
      <c r="A160" s="1">
        <v>40575</v>
      </c>
      <c r="B160" s="2" t="s">
        <v>19</v>
      </c>
      <c r="C160">
        <v>10111.52</v>
      </c>
      <c r="D160">
        <v>9</v>
      </c>
      <c r="E160">
        <v>2</v>
      </c>
      <c r="F160">
        <v>4953</v>
      </c>
      <c r="G160">
        <f>YEAR(tbl_kpi_country[[#This Row],[InvoiceMonth]])*100 + MONTH(tbl_kpi_country[[#This Row],[InvoiceMonth]])</f>
        <v>201102</v>
      </c>
      <c r="H160">
        <v>1123.5022222222224</v>
      </c>
    </row>
    <row r="161" spans="1:8">
      <c r="A161" s="1">
        <v>40603</v>
      </c>
      <c r="B161" s="2" t="s">
        <v>19</v>
      </c>
      <c r="C161">
        <v>21674.36</v>
      </c>
      <c r="D161">
        <v>22</v>
      </c>
      <c r="E161">
        <v>3</v>
      </c>
      <c r="F161">
        <v>9246</v>
      </c>
      <c r="G161">
        <f>YEAR(tbl_kpi_country[[#This Row],[InvoiceMonth]])*100 + MONTH(tbl_kpi_country[[#This Row],[InvoiceMonth]])</f>
        <v>201103</v>
      </c>
      <c r="H161">
        <v>985.19818181818187</v>
      </c>
    </row>
    <row r="162" spans="1:8">
      <c r="A162" s="1">
        <v>40634</v>
      </c>
      <c r="B162" s="2" t="s">
        <v>19</v>
      </c>
      <c r="C162">
        <v>7570.5</v>
      </c>
      <c r="D162">
        <v>11</v>
      </c>
      <c r="E162">
        <v>2</v>
      </c>
      <c r="F162">
        <v>4135</v>
      </c>
      <c r="G162">
        <f>YEAR(tbl_kpi_country[[#This Row],[InvoiceMonth]])*100 + MONTH(tbl_kpi_country[[#This Row],[InvoiceMonth]])</f>
        <v>201104</v>
      </c>
      <c r="H162">
        <v>688.22727272727275</v>
      </c>
    </row>
    <row r="163" spans="1:8">
      <c r="A163" s="1">
        <v>40664</v>
      </c>
      <c r="B163" s="2" t="s">
        <v>19</v>
      </c>
      <c r="C163">
        <v>15977.15</v>
      </c>
      <c r="D163">
        <v>18</v>
      </c>
      <c r="E163">
        <v>3</v>
      </c>
      <c r="F163">
        <v>7239</v>
      </c>
      <c r="G163">
        <f>YEAR(tbl_kpi_country[[#This Row],[InvoiceMonth]])*100 + MONTH(tbl_kpi_country[[#This Row],[InvoiceMonth]])</f>
        <v>201105</v>
      </c>
      <c r="H163">
        <v>887.61944444444441</v>
      </c>
    </row>
    <row r="164" spans="1:8">
      <c r="A164" s="1">
        <v>40695</v>
      </c>
      <c r="B164" s="2" t="s">
        <v>19</v>
      </c>
      <c r="C164">
        <v>19835.990000000002</v>
      </c>
      <c r="D164">
        <v>24</v>
      </c>
      <c r="E164">
        <v>2</v>
      </c>
      <c r="F164">
        <v>12182</v>
      </c>
      <c r="G164">
        <f>YEAR(tbl_kpi_country[[#This Row],[InvoiceMonth]])*100 + MONTH(tbl_kpi_country[[#This Row],[InvoiceMonth]])</f>
        <v>201106</v>
      </c>
      <c r="H164">
        <v>826.49958333333336</v>
      </c>
    </row>
    <row r="165" spans="1:8">
      <c r="A165" s="1">
        <v>40725</v>
      </c>
      <c r="B165" s="2" t="s">
        <v>19</v>
      </c>
      <c r="C165">
        <v>40854.15</v>
      </c>
      <c r="D165">
        <v>22</v>
      </c>
      <c r="E165">
        <v>3</v>
      </c>
      <c r="F165">
        <v>21253</v>
      </c>
      <c r="G165">
        <f>YEAR(tbl_kpi_country[[#This Row],[InvoiceMonth]])*100 + MONTH(tbl_kpi_country[[#This Row],[InvoiceMonth]])</f>
        <v>201107</v>
      </c>
      <c r="H165">
        <v>1857.0068181818183</v>
      </c>
    </row>
    <row r="166" spans="1:8">
      <c r="A166" s="1">
        <v>40756</v>
      </c>
      <c r="B166" s="2" t="s">
        <v>19</v>
      </c>
      <c r="C166">
        <v>16957.830000000002</v>
      </c>
      <c r="D166">
        <v>17</v>
      </c>
      <c r="E166">
        <v>2</v>
      </c>
      <c r="F166">
        <v>9086</v>
      </c>
      <c r="G166">
        <f>YEAR(tbl_kpi_country[[#This Row],[InvoiceMonth]])*100 + MONTH(tbl_kpi_country[[#This Row],[InvoiceMonth]])</f>
        <v>201108</v>
      </c>
      <c r="H166">
        <v>997.51941176470598</v>
      </c>
    </row>
    <row r="167" spans="1:8">
      <c r="A167" s="1">
        <v>40787</v>
      </c>
      <c r="B167" s="2" t="s">
        <v>19</v>
      </c>
      <c r="C167">
        <v>40832.639999999999</v>
      </c>
      <c r="D167">
        <v>36</v>
      </c>
      <c r="E167">
        <v>2</v>
      </c>
      <c r="F167">
        <v>22033</v>
      </c>
      <c r="G167">
        <f>YEAR(tbl_kpi_country[[#This Row],[InvoiceMonth]])*100 + MONTH(tbl_kpi_country[[#This Row],[InvoiceMonth]])</f>
        <v>201109</v>
      </c>
      <c r="H167">
        <v>1134.24</v>
      </c>
    </row>
    <row r="168" spans="1:8">
      <c r="A168" s="1">
        <v>40817</v>
      </c>
      <c r="B168" s="2" t="s">
        <v>19</v>
      </c>
      <c r="C168">
        <v>24302.920000000002</v>
      </c>
      <c r="D168">
        <v>31</v>
      </c>
      <c r="E168">
        <v>2</v>
      </c>
      <c r="F168">
        <v>15900</v>
      </c>
      <c r="G168">
        <f>YEAR(tbl_kpi_country[[#This Row],[InvoiceMonth]])*100 + MONTH(tbl_kpi_country[[#This Row],[InvoiceMonth]])</f>
        <v>201110</v>
      </c>
      <c r="H168">
        <v>783.96516129032261</v>
      </c>
    </row>
    <row r="169" spans="1:8">
      <c r="A169" s="1">
        <v>40848</v>
      </c>
      <c r="B169" s="2" t="s">
        <v>19</v>
      </c>
      <c r="C169">
        <v>29448.41</v>
      </c>
      <c r="D169">
        <v>39</v>
      </c>
      <c r="E169">
        <v>2</v>
      </c>
      <c r="F169">
        <v>16123</v>
      </c>
      <c r="G169">
        <f>YEAR(tbl_kpi_country[[#This Row],[InvoiceMonth]])*100 + MONTH(tbl_kpi_country[[#This Row],[InvoiceMonth]])</f>
        <v>201111</v>
      </c>
      <c r="H169">
        <v>755.08743589743585</v>
      </c>
    </row>
    <row r="170" spans="1:8">
      <c r="A170" s="1">
        <v>40878</v>
      </c>
      <c r="B170" s="2" t="s">
        <v>19</v>
      </c>
      <c r="C170">
        <v>6978.92</v>
      </c>
      <c r="D170">
        <v>9</v>
      </c>
      <c r="E170">
        <v>1</v>
      </c>
      <c r="F170">
        <v>3946</v>
      </c>
      <c r="G170">
        <f>YEAR(tbl_kpi_country[[#This Row],[InvoiceMonth]])*100 + MONTH(tbl_kpi_country[[#This Row],[InvoiceMonth]])</f>
        <v>201112</v>
      </c>
      <c r="H170">
        <v>775.43555555555554</v>
      </c>
    </row>
    <row r="171" spans="1:8">
      <c r="A171" s="1">
        <v>40634</v>
      </c>
      <c r="B171" s="2" t="s">
        <v>20</v>
      </c>
      <c r="C171">
        <v>191.4</v>
      </c>
      <c r="D171">
        <v>1</v>
      </c>
      <c r="E171">
        <v>1</v>
      </c>
      <c r="F171">
        <v>34</v>
      </c>
      <c r="G171">
        <f>YEAR(tbl_kpi_country[[#This Row],[InvoiceMonth]])*100 + MONTH(tbl_kpi_country[[#This Row],[InvoiceMonth]])</f>
        <v>201104</v>
      </c>
      <c r="H171">
        <v>191.4</v>
      </c>
    </row>
    <row r="172" spans="1:8">
      <c r="A172" s="1">
        <v>40695</v>
      </c>
      <c r="B172" s="2" t="s">
        <v>20</v>
      </c>
      <c r="C172">
        <v>432.05</v>
      </c>
      <c r="D172">
        <v>2</v>
      </c>
      <c r="E172">
        <v>1</v>
      </c>
      <c r="F172">
        <v>130</v>
      </c>
      <c r="G172">
        <f>YEAR(tbl_kpi_country[[#This Row],[InvoiceMonth]])*100 + MONTH(tbl_kpi_country[[#This Row],[InvoiceMonth]])</f>
        <v>201106</v>
      </c>
      <c r="H172">
        <v>216.02500000000001</v>
      </c>
    </row>
    <row r="173" spans="1:8">
      <c r="A173" s="1">
        <v>40725</v>
      </c>
      <c r="B173" s="2" t="s">
        <v>20</v>
      </c>
      <c r="C173">
        <v>676.8</v>
      </c>
      <c r="D173">
        <v>1</v>
      </c>
      <c r="E173">
        <v>1</v>
      </c>
      <c r="F173">
        <v>335</v>
      </c>
      <c r="G173">
        <f>YEAR(tbl_kpi_country[[#This Row],[InvoiceMonth]])*100 + MONTH(tbl_kpi_country[[#This Row],[InvoiceMonth]])</f>
        <v>201107</v>
      </c>
      <c r="H173">
        <v>676.8</v>
      </c>
    </row>
    <row r="174" spans="1:8">
      <c r="A174" s="1">
        <v>40148</v>
      </c>
      <c r="B174" s="2" t="s">
        <v>21</v>
      </c>
      <c r="C174">
        <v>549.08000000000004</v>
      </c>
      <c r="D174">
        <v>1</v>
      </c>
      <c r="E174">
        <v>1</v>
      </c>
      <c r="F174">
        <v>134</v>
      </c>
      <c r="G174">
        <f>YEAR(tbl_kpi_country[[#This Row],[InvoiceMonth]])*100 + MONTH(tbl_kpi_country[[#This Row],[InvoiceMonth]])</f>
        <v>200912</v>
      </c>
      <c r="H174">
        <v>549.08000000000004</v>
      </c>
    </row>
    <row r="175" spans="1:8">
      <c r="A175" s="1">
        <v>40179</v>
      </c>
      <c r="B175" s="2" t="s">
        <v>21</v>
      </c>
      <c r="C175">
        <v>801.42</v>
      </c>
      <c r="D175">
        <v>2</v>
      </c>
      <c r="E175">
        <v>2</v>
      </c>
      <c r="F175">
        <v>263</v>
      </c>
      <c r="G175">
        <f>YEAR(tbl_kpi_country[[#This Row],[InvoiceMonth]])*100 + MONTH(tbl_kpi_country[[#This Row],[InvoiceMonth]])</f>
        <v>201001</v>
      </c>
      <c r="H175">
        <v>400.71</v>
      </c>
    </row>
    <row r="176" spans="1:8">
      <c r="A176" s="1">
        <v>40269</v>
      </c>
      <c r="B176" s="2" t="s">
        <v>21</v>
      </c>
      <c r="C176">
        <v>1255.1300000000001</v>
      </c>
      <c r="D176">
        <v>3</v>
      </c>
      <c r="E176">
        <v>2</v>
      </c>
      <c r="F176">
        <v>649</v>
      </c>
      <c r="G176">
        <f>YEAR(tbl_kpi_country[[#This Row],[InvoiceMonth]])*100 + MONTH(tbl_kpi_country[[#This Row],[InvoiceMonth]])</f>
        <v>201004</v>
      </c>
      <c r="H176">
        <v>418.37666666666672</v>
      </c>
    </row>
    <row r="177" spans="1:8">
      <c r="A177" s="1">
        <v>40299</v>
      </c>
      <c r="B177" s="2" t="s">
        <v>21</v>
      </c>
      <c r="C177">
        <v>837.11</v>
      </c>
      <c r="D177">
        <v>1</v>
      </c>
      <c r="E177">
        <v>1</v>
      </c>
      <c r="F177">
        <v>370</v>
      </c>
      <c r="G177">
        <f>YEAR(tbl_kpi_country[[#This Row],[InvoiceMonth]])*100 + MONTH(tbl_kpi_country[[#This Row],[InvoiceMonth]])</f>
        <v>201005</v>
      </c>
      <c r="H177">
        <v>837.11</v>
      </c>
    </row>
    <row r="178" spans="1:8">
      <c r="A178" s="1">
        <v>40330</v>
      </c>
      <c r="B178" s="2" t="s">
        <v>21</v>
      </c>
      <c r="C178">
        <v>534.14</v>
      </c>
      <c r="D178">
        <v>1</v>
      </c>
      <c r="E178">
        <v>1</v>
      </c>
      <c r="F178">
        <v>242</v>
      </c>
      <c r="G178">
        <f>YEAR(tbl_kpi_country[[#This Row],[InvoiceMonth]])*100 + MONTH(tbl_kpi_country[[#This Row],[InvoiceMonth]])</f>
        <v>201006</v>
      </c>
      <c r="H178">
        <v>534.14</v>
      </c>
    </row>
    <row r="179" spans="1:8">
      <c r="A179" s="1">
        <v>40360</v>
      </c>
      <c r="B179" s="2" t="s">
        <v>21</v>
      </c>
      <c r="C179">
        <v>956.23</v>
      </c>
      <c r="D179">
        <v>2</v>
      </c>
      <c r="E179">
        <v>2</v>
      </c>
      <c r="F179">
        <v>362</v>
      </c>
      <c r="G179">
        <f>YEAR(tbl_kpi_country[[#This Row],[InvoiceMonth]])*100 + MONTH(tbl_kpi_country[[#This Row],[InvoiceMonth]])</f>
        <v>201007</v>
      </c>
      <c r="H179">
        <v>478.11500000000001</v>
      </c>
    </row>
    <row r="180" spans="1:8">
      <c r="A180" s="1">
        <v>40422</v>
      </c>
      <c r="B180" s="2" t="s">
        <v>21</v>
      </c>
      <c r="C180">
        <v>864.68</v>
      </c>
      <c r="D180">
        <v>2</v>
      </c>
      <c r="E180">
        <v>2</v>
      </c>
      <c r="F180">
        <v>763</v>
      </c>
      <c r="G180">
        <f>YEAR(tbl_kpi_country[[#This Row],[InvoiceMonth]])*100 + MONTH(tbl_kpi_country[[#This Row],[InvoiceMonth]])</f>
        <v>201009</v>
      </c>
      <c r="H180">
        <v>432.34</v>
      </c>
    </row>
    <row r="181" spans="1:8">
      <c r="A181" s="1">
        <v>40452</v>
      </c>
      <c r="B181" s="2" t="s">
        <v>21</v>
      </c>
      <c r="C181">
        <v>1166.69</v>
      </c>
      <c r="D181">
        <v>2</v>
      </c>
      <c r="E181">
        <v>2</v>
      </c>
      <c r="F181">
        <v>675</v>
      </c>
      <c r="G181">
        <f>YEAR(tbl_kpi_country[[#This Row],[InvoiceMonth]])*100 + MONTH(tbl_kpi_country[[#This Row],[InvoiceMonth]])</f>
        <v>201010</v>
      </c>
      <c r="H181">
        <v>583.34500000000003</v>
      </c>
    </row>
    <row r="182" spans="1:8">
      <c r="A182" s="1">
        <v>40483</v>
      </c>
      <c r="B182" s="2" t="s">
        <v>21</v>
      </c>
      <c r="C182">
        <v>414.98</v>
      </c>
      <c r="D182">
        <v>2</v>
      </c>
      <c r="E182">
        <v>1</v>
      </c>
      <c r="F182">
        <v>213</v>
      </c>
      <c r="G182">
        <f>YEAR(tbl_kpi_country[[#This Row],[InvoiceMonth]])*100 + MONTH(tbl_kpi_country[[#This Row],[InvoiceMonth]])</f>
        <v>201011</v>
      </c>
      <c r="H182">
        <v>207.49</v>
      </c>
    </row>
    <row r="183" spans="1:8">
      <c r="A183" s="1">
        <v>40513</v>
      </c>
      <c r="B183" s="2" t="s">
        <v>21</v>
      </c>
      <c r="C183">
        <v>892.8</v>
      </c>
      <c r="D183">
        <v>1</v>
      </c>
      <c r="E183">
        <v>1</v>
      </c>
      <c r="F183">
        <v>1254</v>
      </c>
      <c r="G183">
        <f>YEAR(tbl_kpi_country[[#This Row],[InvoiceMonth]])*100 + MONTH(tbl_kpi_country[[#This Row],[InvoiceMonth]])</f>
        <v>201012</v>
      </c>
      <c r="H183">
        <v>892.8</v>
      </c>
    </row>
    <row r="184" spans="1:8">
      <c r="A184" s="1">
        <v>40544</v>
      </c>
      <c r="B184" s="2" t="s">
        <v>21</v>
      </c>
      <c r="C184">
        <v>889.02</v>
      </c>
      <c r="D184">
        <v>2</v>
      </c>
      <c r="E184">
        <v>2</v>
      </c>
      <c r="F184">
        <v>765</v>
      </c>
      <c r="G184">
        <f>YEAR(tbl_kpi_country[[#This Row],[InvoiceMonth]])*100 + MONTH(tbl_kpi_country[[#This Row],[InvoiceMonth]])</f>
        <v>201101</v>
      </c>
      <c r="H184">
        <v>444.51</v>
      </c>
    </row>
    <row r="185" spans="1:8">
      <c r="A185" s="1">
        <v>40575</v>
      </c>
      <c r="B185" s="2" t="s">
        <v>21</v>
      </c>
      <c r="C185">
        <v>205.16</v>
      </c>
      <c r="D185">
        <v>1</v>
      </c>
      <c r="E185">
        <v>1</v>
      </c>
      <c r="F185">
        <v>141</v>
      </c>
      <c r="G185">
        <f>YEAR(tbl_kpi_country[[#This Row],[InvoiceMonth]])*100 + MONTH(tbl_kpi_country[[#This Row],[InvoiceMonth]])</f>
        <v>201102</v>
      </c>
      <c r="H185">
        <v>205.16</v>
      </c>
    </row>
    <row r="186" spans="1:8">
      <c r="A186" s="1">
        <v>40603</v>
      </c>
      <c r="B186" s="2" t="s">
        <v>21</v>
      </c>
      <c r="C186">
        <v>5936.82</v>
      </c>
      <c r="D186">
        <v>5</v>
      </c>
      <c r="E186">
        <v>1</v>
      </c>
      <c r="F186">
        <v>2536</v>
      </c>
      <c r="G186">
        <f>YEAR(tbl_kpi_country[[#This Row],[InvoiceMonth]])*100 + MONTH(tbl_kpi_country[[#This Row],[InvoiceMonth]])</f>
        <v>201103</v>
      </c>
      <c r="H186">
        <v>1187.364</v>
      </c>
    </row>
    <row r="187" spans="1:8">
      <c r="A187" s="1">
        <v>40634</v>
      </c>
      <c r="B187" s="2" t="s">
        <v>21</v>
      </c>
      <c r="C187">
        <v>1688.92</v>
      </c>
      <c r="D187">
        <v>4</v>
      </c>
      <c r="E187">
        <v>4</v>
      </c>
      <c r="F187">
        <v>818</v>
      </c>
      <c r="G187">
        <f>YEAR(tbl_kpi_country[[#This Row],[InvoiceMonth]])*100 + MONTH(tbl_kpi_country[[#This Row],[InvoiceMonth]])</f>
        <v>201104</v>
      </c>
      <c r="H187">
        <v>422.23</v>
      </c>
    </row>
    <row r="188" spans="1:8">
      <c r="A188" s="1">
        <v>40695</v>
      </c>
      <c r="B188" s="2" t="s">
        <v>21</v>
      </c>
      <c r="C188">
        <v>329.56</v>
      </c>
      <c r="D188">
        <v>1</v>
      </c>
      <c r="E188">
        <v>1</v>
      </c>
      <c r="F188">
        <v>157</v>
      </c>
      <c r="G188">
        <f>YEAR(tbl_kpi_country[[#This Row],[InvoiceMonth]])*100 + MONTH(tbl_kpi_country[[#This Row],[InvoiceMonth]])</f>
        <v>201106</v>
      </c>
      <c r="H188">
        <v>329.56</v>
      </c>
    </row>
    <row r="189" spans="1:8">
      <c r="A189" s="1">
        <v>40725</v>
      </c>
      <c r="B189" s="2" t="s">
        <v>21</v>
      </c>
      <c r="C189">
        <v>2996.73</v>
      </c>
      <c r="D189">
        <v>3</v>
      </c>
      <c r="E189">
        <v>3</v>
      </c>
      <c r="F189">
        <v>1273</v>
      </c>
      <c r="G189">
        <f>YEAR(tbl_kpi_country[[#This Row],[InvoiceMonth]])*100 + MONTH(tbl_kpi_country[[#This Row],[InvoiceMonth]])</f>
        <v>201107</v>
      </c>
      <c r="H189">
        <v>998.91</v>
      </c>
    </row>
    <row r="190" spans="1:8">
      <c r="A190" s="1">
        <v>40756</v>
      </c>
      <c r="B190" s="2" t="s">
        <v>21</v>
      </c>
      <c r="C190">
        <v>1376.5</v>
      </c>
      <c r="D190">
        <v>3</v>
      </c>
      <c r="E190">
        <v>2</v>
      </c>
      <c r="F190">
        <v>693</v>
      </c>
      <c r="G190">
        <f>YEAR(tbl_kpi_country[[#This Row],[InvoiceMonth]])*100 + MONTH(tbl_kpi_country[[#This Row],[InvoiceMonth]])</f>
        <v>201108</v>
      </c>
      <c r="H190">
        <v>458.83333333333331</v>
      </c>
    </row>
    <row r="191" spans="1:8">
      <c r="A191" s="1">
        <v>40787</v>
      </c>
      <c r="B191" s="2" t="s">
        <v>21</v>
      </c>
      <c r="C191">
        <v>1105.45</v>
      </c>
      <c r="D191">
        <v>4</v>
      </c>
      <c r="E191">
        <v>4</v>
      </c>
      <c r="F191">
        <v>515</v>
      </c>
      <c r="G191">
        <f>YEAR(tbl_kpi_country[[#This Row],[InvoiceMonth]])*100 + MONTH(tbl_kpi_country[[#This Row],[InvoiceMonth]])</f>
        <v>201109</v>
      </c>
      <c r="H191">
        <v>276.36250000000001</v>
      </c>
    </row>
    <row r="192" spans="1:8">
      <c r="A192" s="1">
        <v>40817</v>
      </c>
      <c r="B192" s="2" t="s">
        <v>21</v>
      </c>
      <c r="C192">
        <v>2822.12</v>
      </c>
      <c r="D192">
        <v>6</v>
      </c>
      <c r="E192">
        <v>5</v>
      </c>
      <c r="F192">
        <v>1115</v>
      </c>
      <c r="G192">
        <f>YEAR(tbl_kpi_country[[#This Row],[InvoiceMonth]])*100 + MONTH(tbl_kpi_country[[#This Row],[InvoiceMonth]])</f>
        <v>201110</v>
      </c>
      <c r="H192">
        <v>470.3533333333333</v>
      </c>
    </row>
    <row r="193" spans="1:8">
      <c r="A193" s="1">
        <v>40848</v>
      </c>
      <c r="B193" s="2" t="s">
        <v>21</v>
      </c>
      <c r="C193">
        <v>3070.24</v>
      </c>
      <c r="D193">
        <v>8</v>
      </c>
      <c r="E193">
        <v>5</v>
      </c>
      <c r="F193">
        <v>1087</v>
      </c>
      <c r="G193">
        <f>YEAR(tbl_kpi_country[[#This Row],[InvoiceMonth]])*100 + MONTH(tbl_kpi_country[[#This Row],[InvoiceMonth]])</f>
        <v>201111</v>
      </c>
      <c r="H193">
        <v>383.78</v>
      </c>
    </row>
    <row r="194" spans="1:8">
      <c r="A194" s="1">
        <v>40878</v>
      </c>
      <c r="B194" s="2" t="s">
        <v>21</v>
      </c>
      <c r="C194">
        <v>1232.76</v>
      </c>
      <c r="D194">
        <v>3</v>
      </c>
      <c r="E194">
        <v>3</v>
      </c>
      <c r="F194">
        <v>350</v>
      </c>
      <c r="G194">
        <f>YEAR(tbl_kpi_country[[#This Row],[InvoiceMonth]])*100 + MONTH(tbl_kpi_country[[#This Row],[InvoiceMonth]])</f>
        <v>201112</v>
      </c>
      <c r="H194">
        <v>410.92</v>
      </c>
    </row>
    <row r="195" spans="1:8">
      <c r="A195" s="1">
        <v>40148</v>
      </c>
      <c r="B195" s="2" t="s">
        <v>22</v>
      </c>
      <c r="C195">
        <v>6521.69</v>
      </c>
      <c r="D195">
        <v>13</v>
      </c>
      <c r="E195">
        <v>10</v>
      </c>
      <c r="F195">
        <v>3688</v>
      </c>
      <c r="G195">
        <f>YEAR(tbl_kpi_country[[#This Row],[InvoiceMonth]])*100 + MONTH(tbl_kpi_country[[#This Row],[InvoiceMonth]])</f>
        <v>200912</v>
      </c>
      <c r="H195">
        <v>501.66846153846149</v>
      </c>
    </row>
    <row r="196" spans="1:8">
      <c r="A196" s="1">
        <v>40179</v>
      </c>
      <c r="B196" s="2" t="s">
        <v>22</v>
      </c>
      <c r="C196">
        <v>8465.6299999999992</v>
      </c>
      <c r="D196">
        <v>12</v>
      </c>
      <c r="E196">
        <v>9</v>
      </c>
      <c r="F196">
        <v>5313</v>
      </c>
      <c r="G196">
        <f>YEAR(tbl_kpi_country[[#This Row],[InvoiceMonth]])*100 + MONTH(tbl_kpi_country[[#This Row],[InvoiceMonth]])</f>
        <v>201001</v>
      </c>
      <c r="H196">
        <v>705.46916666666664</v>
      </c>
    </row>
    <row r="197" spans="1:8">
      <c r="A197" s="1">
        <v>40210</v>
      </c>
      <c r="B197" s="2" t="s">
        <v>22</v>
      </c>
      <c r="C197">
        <v>9024.16</v>
      </c>
      <c r="D197">
        <v>17</v>
      </c>
      <c r="E197">
        <v>12</v>
      </c>
      <c r="F197">
        <v>4996</v>
      </c>
      <c r="G197">
        <f>YEAR(tbl_kpi_country[[#This Row],[InvoiceMonth]])*100 + MONTH(tbl_kpi_country[[#This Row],[InvoiceMonth]])</f>
        <v>201002</v>
      </c>
      <c r="H197">
        <v>530.83294117647063</v>
      </c>
    </row>
    <row r="198" spans="1:8">
      <c r="A198" s="1">
        <v>40238</v>
      </c>
      <c r="B198" s="2" t="s">
        <v>22</v>
      </c>
      <c r="C198">
        <v>8637.7900000000009</v>
      </c>
      <c r="D198">
        <v>16</v>
      </c>
      <c r="E198">
        <v>12</v>
      </c>
      <c r="F198">
        <v>4541</v>
      </c>
      <c r="G198">
        <f>YEAR(tbl_kpi_country[[#This Row],[InvoiceMonth]])*100 + MONTH(tbl_kpi_country[[#This Row],[InvoiceMonth]])</f>
        <v>201003</v>
      </c>
      <c r="H198">
        <v>539.86187500000005</v>
      </c>
    </row>
    <row r="199" spans="1:8">
      <c r="A199" s="1">
        <v>40269</v>
      </c>
      <c r="B199" s="2" t="s">
        <v>22</v>
      </c>
      <c r="C199">
        <v>7405.18</v>
      </c>
      <c r="D199">
        <v>10</v>
      </c>
      <c r="E199">
        <v>8</v>
      </c>
      <c r="F199">
        <v>3985</v>
      </c>
      <c r="G199">
        <f>YEAR(tbl_kpi_country[[#This Row],[InvoiceMonth]])*100 + MONTH(tbl_kpi_country[[#This Row],[InvoiceMonth]])</f>
        <v>201004</v>
      </c>
      <c r="H199">
        <v>740.51800000000003</v>
      </c>
    </row>
    <row r="200" spans="1:8">
      <c r="A200" s="1">
        <v>40299</v>
      </c>
      <c r="B200" s="2" t="s">
        <v>22</v>
      </c>
      <c r="C200">
        <v>13912.55</v>
      </c>
      <c r="D200">
        <v>16</v>
      </c>
      <c r="E200">
        <v>14</v>
      </c>
      <c r="F200">
        <v>8821</v>
      </c>
      <c r="G200">
        <f>YEAR(tbl_kpi_country[[#This Row],[InvoiceMonth]])*100 + MONTH(tbl_kpi_country[[#This Row],[InvoiceMonth]])</f>
        <v>201005</v>
      </c>
      <c r="H200">
        <v>869.53437499999995</v>
      </c>
    </row>
    <row r="201" spans="1:8">
      <c r="A201" s="1">
        <v>40330</v>
      </c>
      <c r="B201" s="2" t="s">
        <v>22</v>
      </c>
      <c r="C201">
        <v>9172.5400000000009</v>
      </c>
      <c r="D201">
        <v>23</v>
      </c>
      <c r="E201">
        <v>18</v>
      </c>
      <c r="F201">
        <v>5709</v>
      </c>
      <c r="G201">
        <f>YEAR(tbl_kpi_country[[#This Row],[InvoiceMonth]])*100 + MONTH(tbl_kpi_country[[#This Row],[InvoiceMonth]])</f>
        <v>201006</v>
      </c>
      <c r="H201">
        <v>398.80608695652177</v>
      </c>
    </row>
    <row r="202" spans="1:8">
      <c r="A202" s="1">
        <v>40360</v>
      </c>
      <c r="B202" s="2" t="s">
        <v>22</v>
      </c>
      <c r="C202">
        <v>11399.15</v>
      </c>
      <c r="D202">
        <v>17</v>
      </c>
      <c r="E202">
        <v>14</v>
      </c>
      <c r="F202">
        <v>4034</v>
      </c>
      <c r="G202">
        <f>YEAR(tbl_kpi_country[[#This Row],[InvoiceMonth]])*100 + MONTH(tbl_kpi_country[[#This Row],[InvoiceMonth]])</f>
        <v>201007</v>
      </c>
      <c r="H202">
        <v>670.53823529411761</v>
      </c>
    </row>
    <row r="203" spans="1:8">
      <c r="A203" s="1">
        <v>40391</v>
      </c>
      <c r="B203" s="2" t="s">
        <v>22</v>
      </c>
      <c r="C203">
        <v>16570.32</v>
      </c>
      <c r="D203">
        <v>10</v>
      </c>
      <c r="E203">
        <v>10</v>
      </c>
      <c r="F203">
        <v>89914</v>
      </c>
      <c r="G203">
        <f>YEAR(tbl_kpi_country[[#This Row],[InvoiceMonth]])*100 + MONTH(tbl_kpi_country[[#This Row],[InvoiceMonth]])</f>
        <v>201008</v>
      </c>
      <c r="H203">
        <v>1657.0319999999999</v>
      </c>
    </row>
    <row r="204" spans="1:8">
      <c r="A204" s="1">
        <v>40422</v>
      </c>
      <c r="B204" s="2" t="s">
        <v>22</v>
      </c>
      <c r="C204">
        <v>14531.33</v>
      </c>
      <c r="D204">
        <v>26</v>
      </c>
      <c r="E204">
        <v>16</v>
      </c>
      <c r="F204">
        <v>6960</v>
      </c>
      <c r="G204">
        <f>YEAR(tbl_kpi_country[[#This Row],[InvoiceMonth]])*100 + MONTH(tbl_kpi_country[[#This Row],[InvoiceMonth]])</f>
        <v>201009</v>
      </c>
      <c r="H204">
        <v>558.89730769230766</v>
      </c>
    </row>
    <row r="205" spans="1:8">
      <c r="A205" s="1">
        <v>40452</v>
      </c>
      <c r="B205" s="2" t="s">
        <v>22</v>
      </c>
      <c r="C205">
        <v>15207.57</v>
      </c>
      <c r="D205">
        <v>28</v>
      </c>
      <c r="E205">
        <v>22</v>
      </c>
      <c r="F205">
        <v>9921</v>
      </c>
      <c r="G205">
        <f>YEAR(tbl_kpi_country[[#This Row],[InvoiceMonth]])*100 + MONTH(tbl_kpi_country[[#This Row],[InvoiceMonth]])</f>
        <v>201010</v>
      </c>
      <c r="H205">
        <v>543.12749999999994</v>
      </c>
    </row>
    <row r="206" spans="1:8">
      <c r="A206" s="1">
        <v>40483</v>
      </c>
      <c r="B206" s="2" t="s">
        <v>22</v>
      </c>
      <c r="C206">
        <v>18968.740000000002</v>
      </c>
      <c r="D206">
        <v>37</v>
      </c>
      <c r="E206">
        <v>24</v>
      </c>
      <c r="F206">
        <v>10977</v>
      </c>
      <c r="G206">
        <f>YEAR(tbl_kpi_country[[#This Row],[InvoiceMonth]])*100 + MONTH(tbl_kpi_country[[#This Row],[InvoiceMonth]])</f>
        <v>201011</v>
      </c>
      <c r="H206">
        <v>512.66864864864874</v>
      </c>
    </row>
    <row r="207" spans="1:8">
      <c r="A207" s="1">
        <v>40513</v>
      </c>
      <c r="B207" s="2" t="s">
        <v>22</v>
      </c>
      <c r="C207">
        <v>15906.73</v>
      </c>
      <c r="D207">
        <v>21</v>
      </c>
      <c r="E207">
        <v>15</v>
      </c>
      <c r="F207">
        <v>8178</v>
      </c>
      <c r="G207">
        <f>YEAR(tbl_kpi_country[[#This Row],[InvoiceMonth]])*100 + MONTH(tbl_kpi_country[[#This Row],[InvoiceMonth]])</f>
        <v>201012</v>
      </c>
      <c r="H207">
        <v>757.46333333333337</v>
      </c>
    </row>
    <row r="208" spans="1:8">
      <c r="A208" s="1">
        <v>40544</v>
      </c>
      <c r="B208" s="2" t="s">
        <v>22</v>
      </c>
      <c r="C208">
        <v>17740.12</v>
      </c>
      <c r="D208">
        <v>29</v>
      </c>
      <c r="E208">
        <v>24</v>
      </c>
      <c r="F208">
        <v>9199</v>
      </c>
      <c r="G208">
        <f>YEAR(tbl_kpi_country[[#This Row],[InvoiceMonth]])*100 + MONTH(tbl_kpi_country[[#This Row],[InvoiceMonth]])</f>
        <v>201101</v>
      </c>
      <c r="H208">
        <v>611.72827586206893</v>
      </c>
    </row>
    <row r="209" spans="1:8">
      <c r="A209" s="1">
        <v>40575</v>
      </c>
      <c r="B209" s="2" t="s">
        <v>22</v>
      </c>
      <c r="C209">
        <v>8515.9599999999991</v>
      </c>
      <c r="D209">
        <v>21</v>
      </c>
      <c r="E209">
        <v>17</v>
      </c>
      <c r="F209">
        <v>5340</v>
      </c>
      <c r="G209">
        <f>YEAR(tbl_kpi_country[[#This Row],[InvoiceMonth]])*100 + MONTH(tbl_kpi_country[[#This Row],[InvoiceMonth]])</f>
        <v>201102</v>
      </c>
      <c r="H209">
        <v>405.52190476190469</v>
      </c>
    </row>
    <row r="210" spans="1:8">
      <c r="A210" s="1">
        <v>40603</v>
      </c>
      <c r="B210" s="2" t="s">
        <v>22</v>
      </c>
      <c r="C210">
        <v>14584.95</v>
      </c>
      <c r="D210">
        <v>25</v>
      </c>
      <c r="E210">
        <v>17</v>
      </c>
      <c r="F210">
        <v>8688</v>
      </c>
      <c r="G210">
        <f>YEAR(tbl_kpi_country[[#This Row],[InvoiceMonth]])*100 + MONTH(tbl_kpi_country[[#This Row],[InvoiceMonth]])</f>
        <v>201103</v>
      </c>
      <c r="H210">
        <v>583.39800000000002</v>
      </c>
    </row>
    <row r="211" spans="1:8">
      <c r="A211" s="1">
        <v>40634</v>
      </c>
      <c r="B211" s="2" t="s">
        <v>22</v>
      </c>
      <c r="C211">
        <v>5529.61</v>
      </c>
      <c r="D211">
        <v>14</v>
      </c>
      <c r="E211">
        <v>14</v>
      </c>
      <c r="F211">
        <v>2287</v>
      </c>
      <c r="G211">
        <f>YEAR(tbl_kpi_country[[#This Row],[InvoiceMonth]])*100 + MONTH(tbl_kpi_country[[#This Row],[InvoiceMonth]])</f>
        <v>201104</v>
      </c>
      <c r="H211">
        <v>394.97214285714284</v>
      </c>
    </row>
    <row r="212" spans="1:8">
      <c r="A212" s="1">
        <v>40664</v>
      </c>
      <c r="B212" s="2" t="s">
        <v>22</v>
      </c>
      <c r="C212">
        <v>17606.48</v>
      </c>
      <c r="D212">
        <v>39</v>
      </c>
      <c r="E212">
        <v>28</v>
      </c>
      <c r="F212">
        <v>9784</v>
      </c>
      <c r="G212">
        <f>YEAR(tbl_kpi_country[[#This Row],[InvoiceMonth]])*100 + MONTH(tbl_kpi_country[[#This Row],[InvoiceMonth]])</f>
        <v>201105</v>
      </c>
      <c r="H212">
        <v>451.44820512820513</v>
      </c>
    </row>
    <row r="213" spans="1:8">
      <c r="A213" s="1">
        <v>40695</v>
      </c>
      <c r="B213" s="2" t="s">
        <v>22</v>
      </c>
      <c r="C213">
        <v>16078.97</v>
      </c>
      <c r="D213">
        <v>30</v>
      </c>
      <c r="E213">
        <v>25</v>
      </c>
      <c r="F213">
        <v>9578</v>
      </c>
      <c r="G213">
        <f>YEAR(tbl_kpi_country[[#This Row],[InvoiceMonth]])*100 + MONTH(tbl_kpi_country[[#This Row],[InvoiceMonth]])</f>
        <v>201106</v>
      </c>
      <c r="H213">
        <v>535.96566666666661</v>
      </c>
    </row>
    <row r="214" spans="1:8">
      <c r="A214" s="1">
        <v>40725</v>
      </c>
      <c r="B214" s="2" t="s">
        <v>22</v>
      </c>
      <c r="C214">
        <v>10000.19</v>
      </c>
      <c r="D214">
        <v>22</v>
      </c>
      <c r="E214">
        <v>18</v>
      </c>
      <c r="F214">
        <v>5664</v>
      </c>
      <c r="G214">
        <f>YEAR(tbl_kpi_country[[#This Row],[InvoiceMonth]])*100 + MONTH(tbl_kpi_country[[#This Row],[InvoiceMonth]])</f>
        <v>201107</v>
      </c>
      <c r="H214">
        <v>454.55409090909092</v>
      </c>
    </row>
    <row r="215" spans="1:8">
      <c r="A215" s="1">
        <v>40756</v>
      </c>
      <c r="B215" s="2" t="s">
        <v>22</v>
      </c>
      <c r="C215">
        <v>13810.96</v>
      </c>
      <c r="D215">
        <v>28</v>
      </c>
      <c r="E215">
        <v>22</v>
      </c>
      <c r="F215">
        <v>7958</v>
      </c>
      <c r="G215">
        <f>YEAR(tbl_kpi_country[[#This Row],[InvoiceMonth]])*100 + MONTH(tbl_kpi_country[[#This Row],[InvoiceMonth]])</f>
        <v>201108</v>
      </c>
      <c r="H215">
        <v>493.24857142857138</v>
      </c>
    </row>
    <row r="216" spans="1:8">
      <c r="A216" s="1">
        <v>40787</v>
      </c>
      <c r="B216" s="2" t="s">
        <v>22</v>
      </c>
      <c r="C216">
        <v>23428.04</v>
      </c>
      <c r="D216">
        <v>45</v>
      </c>
      <c r="E216">
        <v>36</v>
      </c>
      <c r="F216">
        <v>13002</v>
      </c>
      <c r="G216">
        <f>YEAR(tbl_kpi_country[[#This Row],[InvoiceMonth]])*100 + MONTH(tbl_kpi_country[[#This Row],[InvoiceMonth]])</f>
        <v>201109</v>
      </c>
      <c r="H216">
        <v>520.62311111111114</v>
      </c>
    </row>
    <row r="217" spans="1:8">
      <c r="A217" s="1">
        <v>40817</v>
      </c>
      <c r="B217" s="2" t="s">
        <v>22</v>
      </c>
      <c r="C217">
        <v>33471.050000000003</v>
      </c>
      <c r="D217">
        <v>35</v>
      </c>
      <c r="E217">
        <v>27</v>
      </c>
      <c r="F217">
        <v>13801</v>
      </c>
      <c r="G217">
        <f>YEAR(tbl_kpi_country[[#This Row],[InvoiceMonth]])*100 + MONTH(tbl_kpi_country[[#This Row],[InvoiceMonth]])</f>
        <v>201110</v>
      </c>
      <c r="H217">
        <v>956.31571428571442</v>
      </c>
    </row>
    <row r="218" spans="1:8">
      <c r="A218" s="1">
        <v>40848</v>
      </c>
      <c r="B218" s="2" t="s">
        <v>22</v>
      </c>
      <c r="C218">
        <v>31274.75</v>
      </c>
      <c r="D218">
        <v>62</v>
      </c>
      <c r="E218">
        <v>39</v>
      </c>
      <c r="F218">
        <v>17353</v>
      </c>
      <c r="G218">
        <f>YEAR(tbl_kpi_country[[#This Row],[InvoiceMonth]])*100 + MONTH(tbl_kpi_country[[#This Row],[InvoiceMonth]])</f>
        <v>201111</v>
      </c>
      <c r="H218">
        <v>504.43145161290323</v>
      </c>
    </row>
    <row r="219" spans="1:8">
      <c r="A219" s="1">
        <v>40878</v>
      </c>
      <c r="B219" s="2" t="s">
        <v>22</v>
      </c>
      <c r="C219">
        <v>7294.92</v>
      </c>
      <c r="D219">
        <v>18</v>
      </c>
      <c r="E219">
        <v>17</v>
      </c>
      <c r="F219">
        <v>3786</v>
      </c>
      <c r="G219">
        <f>YEAR(tbl_kpi_country[[#This Row],[InvoiceMonth]])*100 + MONTH(tbl_kpi_country[[#This Row],[InvoiceMonth]])</f>
        <v>201112</v>
      </c>
      <c r="H219">
        <v>405.27333333333331</v>
      </c>
    </row>
    <row r="220" spans="1:8">
      <c r="A220" s="1">
        <v>40148</v>
      </c>
      <c r="B220" s="2" t="s">
        <v>23</v>
      </c>
      <c r="C220">
        <v>9830.27</v>
      </c>
      <c r="D220">
        <v>18</v>
      </c>
      <c r="E220">
        <v>10</v>
      </c>
      <c r="F220">
        <v>4774</v>
      </c>
      <c r="G220">
        <f>YEAR(tbl_kpi_country[[#This Row],[InvoiceMonth]])*100 + MONTH(tbl_kpi_country[[#This Row],[InvoiceMonth]])</f>
        <v>200912</v>
      </c>
      <c r="H220">
        <v>546.12611111111119</v>
      </c>
    </row>
    <row r="221" spans="1:8">
      <c r="A221" s="1">
        <v>40179</v>
      </c>
      <c r="B221" s="2" t="s">
        <v>23</v>
      </c>
      <c r="C221">
        <v>12562.11</v>
      </c>
      <c r="D221">
        <v>21</v>
      </c>
      <c r="E221">
        <v>13</v>
      </c>
      <c r="F221">
        <v>6321</v>
      </c>
      <c r="G221">
        <f>YEAR(tbl_kpi_country[[#This Row],[InvoiceMonth]])*100 + MONTH(tbl_kpi_country[[#This Row],[InvoiceMonth]])</f>
        <v>201001</v>
      </c>
      <c r="H221">
        <v>598.1957142857143</v>
      </c>
    </row>
    <row r="222" spans="1:8">
      <c r="A222" s="1">
        <v>40210</v>
      </c>
      <c r="B222" s="2" t="s">
        <v>23</v>
      </c>
      <c r="C222">
        <v>9124.25</v>
      </c>
      <c r="D222">
        <v>27</v>
      </c>
      <c r="E222">
        <v>18</v>
      </c>
      <c r="F222">
        <v>4789</v>
      </c>
      <c r="G222">
        <f>YEAR(tbl_kpi_country[[#This Row],[InvoiceMonth]])*100 + MONTH(tbl_kpi_country[[#This Row],[InvoiceMonth]])</f>
        <v>201002</v>
      </c>
      <c r="H222">
        <v>337.93518518518516</v>
      </c>
    </row>
    <row r="223" spans="1:8">
      <c r="A223" s="1">
        <v>40238</v>
      </c>
      <c r="B223" s="2" t="s">
        <v>23</v>
      </c>
      <c r="C223">
        <v>16698.080000000002</v>
      </c>
      <c r="D223">
        <v>28</v>
      </c>
      <c r="E223">
        <v>19</v>
      </c>
      <c r="F223">
        <v>8883</v>
      </c>
      <c r="G223">
        <f>YEAR(tbl_kpi_country[[#This Row],[InvoiceMonth]])*100 + MONTH(tbl_kpi_country[[#This Row],[InvoiceMonth]])</f>
        <v>201003</v>
      </c>
      <c r="H223">
        <v>596.36</v>
      </c>
    </row>
    <row r="224" spans="1:8">
      <c r="A224" s="1">
        <v>40269</v>
      </c>
      <c r="B224" s="2" t="s">
        <v>23</v>
      </c>
      <c r="C224">
        <v>23683.231</v>
      </c>
      <c r="D224">
        <v>31</v>
      </c>
      <c r="E224">
        <v>22</v>
      </c>
      <c r="F224">
        <v>12557</v>
      </c>
      <c r="G224">
        <f>YEAR(tbl_kpi_country[[#This Row],[InvoiceMonth]])*100 + MONTH(tbl_kpi_country[[#This Row],[InvoiceMonth]])</f>
        <v>201004</v>
      </c>
      <c r="H224">
        <v>763.9751935483871</v>
      </c>
    </row>
    <row r="225" spans="1:8">
      <c r="A225" s="1">
        <v>40299</v>
      </c>
      <c r="B225" s="2" t="s">
        <v>23</v>
      </c>
      <c r="C225">
        <v>9108.36</v>
      </c>
      <c r="D225">
        <v>17</v>
      </c>
      <c r="E225">
        <v>14</v>
      </c>
      <c r="F225">
        <v>4246</v>
      </c>
      <c r="G225">
        <f>YEAR(tbl_kpi_country[[#This Row],[InvoiceMonth]])*100 + MONTH(tbl_kpi_country[[#This Row],[InvoiceMonth]])</f>
        <v>201005</v>
      </c>
      <c r="H225">
        <v>535.78588235294126</v>
      </c>
    </row>
    <row r="226" spans="1:8">
      <c r="A226" s="1">
        <v>40330</v>
      </c>
      <c r="B226" s="2" t="s">
        <v>23</v>
      </c>
      <c r="C226">
        <v>15668.43</v>
      </c>
      <c r="D226">
        <v>27</v>
      </c>
      <c r="E226">
        <v>16</v>
      </c>
      <c r="F226">
        <v>9314</v>
      </c>
      <c r="G226">
        <f>YEAR(tbl_kpi_country[[#This Row],[InvoiceMonth]])*100 + MONTH(tbl_kpi_country[[#This Row],[InvoiceMonth]])</f>
        <v>201006</v>
      </c>
      <c r="H226">
        <v>580.3122222222222</v>
      </c>
    </row>
    <row r="227" spans="1:8">
      <c r="A227" s="1">
        <v>40360</v>
      </c>
      <c r="B227" s="2" t="s">
        <v>23</v>
      </c>
      <c r="C227">
        <v>20274.29</v>
      </c>
      <c r="D227">
        <v>26</v>
      </c>
      <c r="E227">
        <v>21</v>
      </c>
      <c r="F227">
        <v>13100</v>
      </c>
      <c r="G227">
        <f>YEAR(tbl_kpi_country[[#This Row],[InvoiceMonth]])*100 + MONTH(tbl_kpi_country[[#This Row],[InvoiceMonth]])</f>
        <v>201007</v>
      </c>
      <c r="H227">
        <v>779.78038461538461</v>
      </c>
    </row>
    <row r="228" spans="1:8">
      <c r="A228" s="1">
        <v>40391</v>
      </c>
      <c r="B228" s="2" t="s">
        <v>23</v>
      </c>
      <c r="C228">
        <v>9943.119999999999</v>
      </c>
      <c r="D228">
        <v>24</v>
      </c>
      <c r="E228">
        <v>16</v>
      </c>
      <c r="F228">
        <v>5264</v>
      </c>
      <c r="G228">
        <f>YEAR(tbl_kpi_country[[#This Row],[InvoiceMonth]])*100 + MONTH(tbl_kpi_country[[#This Row],[InvoiceMonth]])</f>
        <v>201008</v>
      </c>
      <c r="H228">
        <v>414.29666666666662</v>
      </c>
    </row>
    <row r="229" spans="1:8">
      <c r="A229" s="1">
        <v>40422</v>
      </c>
      <c r="B229" s="2" t="s">
        <v>23</v>
      </c>
      <c r="C229">
        <v>17708.68</v>
      </c>
      <c r="D229">
        <v>32</v>
      </c>
      <c r="E229">
        <v>21</v>
      </c>
      <c r="F229">
        <v>9243</v>
      </c>
      <c r="G229">
        <f>YEAR(tbl_kpi_country[[#This Row],[InvoiceMonth]])*100 + MONTH(tbl_kpi_country[[#This Row],[InvoiceMonth]])</f>
        <v>201009</v>
      </c>
      <c r="H229">
        <v>553.39625000000001</v>
      </c>
    </row>
    <row r="230" spans="1:8">
      <c r="A230" s="1">
        <v>40452</v>
      </c>
      <c r="B230" s="2" t="s">
        <v>23</v>
      </c>
      <c r="C230">
        <v>21499.98</v>
      </c>
      <c r="D230">
        <v>38</v>
      </c>
      <c r="E230">
        <v>30</v>
      </c>
      <c r="F230">
        <v>11830</v>
      </c>
      <c r="G230">
        <f>YEAR(tbl_kpi_country[[#This Row],[InvoiceMonth]])*100 + MONTH(tbl_kpi_country[[#This Row],[InvoiceMonth]])</f>
        <v>201010</v>
      </c>
      <c r="H230">
        <v>565.78894736842108</v>
      </c>
    </row>
    <row r="231" spans="1:8">
      <c r="A231" s="1">
        <v>40483</v>
      </c>
      <c r="B231" s="2" t="s">
        <v>23</v>
      </c>
      <c r="C231">
        <v>30240.51</v>
      </c>
      <c r="D231">
        <v>43</v>
      </c>
      <c r="E231">
        <v>26</v>
      </c>
      <c r="F231">
        <v>15679</v>
      </c>
      <c r="G231">
        <f>YEAR(tbl_kpi_country[[#This Row],[InvoiceMonth]])*100 + MONTH(tbl_kpi_country[[#This Row],[InvoiceMonth]])</f>
        <v>201011</v>
      </c>
      <c r="H231">
        <v>703.26767441860466</v>
      </c>
    </row>
    <row r="232" spans="1:8">
      <c r="A232" s="1">
        <v>40513</v>
      </c>
      <c r="B232" s="2" t="s">
        <v>23</v>
      </c>
      <c r="C232">
        <v>20889.82</v>
      </c>
      <c r="D232">
        <v>30</v>
      </c>
      <c r="E232">
        <v>18</v>
      </c>
      <c r="F232">
        <v>9480</v>
      </c>
      <c r="G232">
        <f>YEAR(tbl_kpi_country[[#This Row],[InvoiceMonth]])*100 + MONTH(tbl_kpi_country[[#This Row],[InvoiceMonth]])</f>
        <v>201012</v>
      </c>
      <c r="H232">
        <v>696.32733333333329</v>
      </c>
    </row>
    <row r="233" spans="1:8">
      <c r="A233" s="1">
        <v>40544</v>
      </c>
      <c r="B233" s="2" t="s">
        <v>23</v>
      </c>
      <c r="C233">
        <v>16880.84</v>
      </c>
      <c r="D233">
        <v>31</v>
      </c>
      <c r="E233">
        <v>28</v>
      </c>
      <c r="F233">
        <v>9053</v>
      </c>
      <c r="G233">
        <f>YEAR(tbl_kpi_country[[#This Row],[InvoiceMonth]])*100 + MONTH(tbl_kpi_country[[#This Row],[InvoiceMonth]])</f>
        <v>201101</v>
      </c>
      <c r="H233">
        <v>544.54322580645157</v>
      </c>
    </row>
    <row r="234" spans="1:8">
      <c r="A234" s="1">
        <v>40575</v>
      </c>
      <c r="B234" s="2" t="s">
        <v>23</v>
      </c>
      <c r="C234">
        <v>9581.0499999999993</v>
      </c>
      <c r="D234">
        <v>19</v>
      </c>
      <c r="E234">
        <v>17</v>
      </c>
      <c r="F234">
        <v>4245</v>
      </c>
      <c r="G234">
        <f>YEAR(tbl_kpi_country[[#This Row],[InvoiceMonth]])*100 + MONTH(tbl_kpi_country[[#This Row],[InvoiceMonth]])</f>
        <v>201102</v>
      </c>
      <c r="H234">
        <v>504.26578947368415</v>
      </c>
    </row>
    <row r="235" spans="1:8">
      <c r="A235" s="1">
        <v>40603</v>
      </c>
      <c r="B235" s="2" t="s">
        <v>23</v>
      </c>
      <c r="C235">
        <v>14392.69</v>
      </c>
      <c r="D235">
        <v>32</v>
      </c>
      <c r="E235">
        <v>24</v>
      </c>
      <c r="F235">
        <v>7739</v>
      </c>
      <c r="G235">
        <f>YEAR(tbl_kpi_country[[#This Row],[InvoiceMonth]])*100 + MONTH(tbl_kpi_country[[#This Row],[InvoiceMonth]])</f>
        <v>201103</v>
      </c>
      <c r="H235">
        <v>449.77156250000002</v>
      </c>
    </row>
    <row r="236" spans="1:8">
      <c r="A236" s="1">
        <v>40634</v>
      </c>
      <c r="B236" s="2" t="s">
        <v>23</v>
      </c>
      <c r="C236">
        <v>12315.54</v>
      </c>
      <c r="D236">
        <v>23</v>
      </c>
      <c r="E236">
        <v>19</v>
      </c>
      <c r="F236">
        <v>5764</v>
      </c>
      <c r="G236">
        <f>YEAR(tbl_kpi_country[[#This Row],[InvoiceMonth]])*100 + MONTH(tbl_kpi_country[[#This Row],[InvoiceMonth]])</f>
        <v>201104</v>
      </c>
      <c r="H236">
        <v>535.45826086956527</v>
      </c>
    </row>
    <row r="237" spans="1:8">
      <c r="A237" s="1">
        <v>40664</v>
      </c>
      <c r="B237" s="2" t="s">
        <v>23</v>
      </c>
      <c r="C237">
        <v>25734.7</v>
      </c>
      <c r="D237">
        <v>42</v>
      </c>
      <c r="E237">
        <v>27</v>
      </c>
      <c r="F237">
        <v>12987</v>
      </c>
      <c r="G237">
        <f>YEAR(tbl_kpi_country[[#This Row],[InvoiceMonth]])*100 + MONTH(tbl_kpi_country[[#This Row],[InvoiceMonth]])</f>
        <v>201105</v>
      </c>
      <c r="H237">
        <v>612.73095238095243</v>
      </c>
    </row>
    <row r="238" spans="1:8">
      <c r="A238" s="1">
        <v>40695</v>
      </c>
      <c r="B238" s="2" t="s">
        <v>23</v>
      </c>
      <c r="C238">
        <v>13246.35</v>
      </c>
      <c r="D238">
        <v>24</v>
      </c>
      <c r="E238">
        <v>21</v>
      </c>
      <c r="F238">
        <v>7438</v>
      </c>
      <c r="G238">
        <f>YEAR(tbl_kpi_country[[#This Row],[InvoiceMonth]])*100 + MONTH(tbl_kpi_country[[#This Row],[InvoiceMonth]])</f>
        <v>201106</v>
      </c>
      <c r="H238">
        <v>551.93124999999998</v>
      </c>
    </row>
    <row r="239" spans="1:8">
      <c r="A239" s="1">
        <v>40725</v>
      </c>
      <c r="B239" s="2" t="s">
        <v>23</v>
      </c>
      <c r="C239">
        <v>16440.98</v>
      </c>
      <c r="D239">
        <v>33</v>
      </c>
      <c r="E239">
        <v>26</v>
      </c>
      <c r="F239">
        <v>9096</v>
      </c>
      <c r="G239">
        <f>YEAR(tbl_kpi_country[[#This Row],[InvoiceMonth]])*100 + MONTH(tbl_kpi_country[[#This Row],[InvoiceMonth]])</f>
        <v>201107</v>
      </c>
      <c r="H239">
        <v>498.21151515151513</v>
      </c>
    </row>
    <row r="240" spans="1:8">
      <c r="A240" s="1">
        <v>40756</v>
      </c>
      <c r="B240" s="2" t="s">
        <v>23</v>
      </c>
      <c r="C240">
        <v>19220.77</v>
      </c>
      <c r="D240">
        <v>39</v>
      </c>
      <c r="E240">
        <v>29</v>
      </c>
      <c r="F240">
        <v>9641</v>
      </c>
      <c r="G240">
        <f>YEAR(tbl_kpi_country[[#This Row],[InvoiceMonth]])*100 + MONTH(tbl_kpi_country[[#This Row],[InvoiceMonth]])</f>
        <v>201108</v>
      </c>
      <c r="H240">
        <v>492.84025641025642</v>
      </c>
    </row>
    <row r="241" spans="1:8">
      <c r="A241" s="1">
        <v>40787</v>
      </c>
      <c r="B241" s="2" t="s">
        <v>23</v>
      </c>
      <c r="C241">
        <v>18079.47</v>
      </c>
      <c r="D241">
        <v>41</v>
      </c>
      <c r="E241">
        <v>31</v>
      </c>
      <c r="F241">
        <v>11153</v>
      </c>
      <c r="G241">
        <f>YEAR(tbl_kpi_country[[#This Row],[InvoiceMonth]])*100 + MONTH(tbl_kpi_country[[#This Row],[InvoiceMonth]])</f>
        <v>201109</v>
      </c>
      <c r="H241">
        <v>440.9626829268293</v>
      </c>
    </row>
    <row r="242" spans="1:8">
      <c r="A242" s="1">
        <v>40817</v>
      </c>
      <c r="B242" s="2" t="s">
        <v>23</v>
      </c>
      <c r="C242">
        <v>31628.42</v>
      </c>
      <c r="D242">
        <v>58</v>
      </c>
      <c r="E242">
        <v>38</v>
      </c>
      <c r="F242">
        <v>17732</v>
      </c>
      <c r="G242">
        <f>YEAR(tbl_kpi_country[[#This Row],[InvoiceMonth]])*100 + MONTH(tbl_kpi_country[[#This Row],[InvoiceMonth]])</f>
        <v>201110</v>
      </c>
      <c r="H242">
        <v>545.31758620689652</v>
      </c>
    </row>
    <row r="243" spans="1:8">
      <c r="A243" s="1">
        <v>40848</v>
      </c>
      <c r="B243" s="2" t="s">
        <v>23</v>
      </c>
      <c r="C243">
        <v>27967.68</v>
      </c>
      <c r="D243">
        <v>68</v>
      </c>
      <c r="E243">
        <v>44</v>
      </c>
      <c r="F243">
        <v>13435</v>
      </c>
      <c r="G243">
        <f>YEAR(tbl_kpi_country[[#This Row],[InvoiceMonth]])*100 + MONTH(tbl_kpi_country[[#This Row],[InvoiceMonth]])</f>
        <v>201111</v>
      </c>
      <c r="H243">
        <v>411.2894117647059</v>
      </c>
    </row>
    <row r="244" spans="1:8">
      <c r="A244" s="1">
        <v>40878</v>
      </c>
      <c r="B244" s="2" t="s">
        <v>23</v>
      </c>
      <c r="C244">
        <v>7984.17</v>
      </c>
      <c r="D244">
        <v>17</v>
      </c>
      <c r="E244">
        <v>12</v>
      </c>
      <c r="F244">
        <v>4006</v>
      </c>
      <c r="G244">
        <f>YEAR(tbl_kpi_country[[#This Row],[InvoiceMonth]])*100 + MONTH(tbl_kpi_country[[#This Row],[InvoiceMonth]])</f>
        <v>201112</v>
      </c>
      <c r="H244">
        <v>469.65705882352944</v>
      </c>
    </row>
    <row r="245" spans="1:8">
      <c r="A245" s="1">
        <v>40148</v>
      </c>
      <c r="B245" s="2" t="s">
        <v>24</v>
      </c>
      <c r="C245">
        <v>610.95000000000005</v>
      </c>
      <c r="D245">
        <v>1</v>
      </c>
      <c r="E245">
        <v>1</v>
      </c>
      <c r="F245">
        <v>441</v>
      </c>
      <c r="G245">
        <f>YEAR(tbl_kpi_country[[#This Row],[InvoiceMonth]])*100 + MONTH(tbl_kpi_country[[#This Row],[InvoiceMonth]])</f>
        <v>200912</v>
      </c>
      <c r="H245">
        <v>610.95000000000005</v>
      </c>
    </row>
    <row r="246" spans="1:8">
      <c r="A246" s="1">
        <v>40179</v>
      </c>
      <c r="B246" s="2" t="s">
        <v>24</v>
      </c>
      <c r="C246">
        <v>4798.3500000000004</v>
      </c>
      <c r="D246">
        <v>3</v>
      </c>
      <c r="E246">
        <v>2</v>
      </c>
      <c r="F246">
        <v>1573</v>
      </c>
      <c r="G246">
        <f>YEAR(tbl_kpi_country[[#This Row],[InvoiceMonth]])*100 + MONTH(tbl_kpi_country[[#This Row],[InvoiceMonth]])</f>
        <v>201001</v>
      </c>
      <c r="H246">
        <v>1599.45</v>
      </c>
    </row>
    <row r="247" spans="1:8">
      <c r="A247" s="1">
        <v>40238</v>
      </c>
      <c r="B247" s="2" t="s">
        <v>24</v>
      </c>
      <c r="C247">
        <v>522.73</v>
      </c>
      <c r="D247">
        <v>1</v>
      </c>
      <c r="E247">
        <v>1</v>
      </c>
      <c r="F247">
        <v>259</v>
      </c>
      <c r="G247">
        <f>YEAR(tbl_kpi_country[[#This Row],[InvoiceMonth]])*100 + MONTH(tbl_kpi_country[[#This Row],[InvoiceMonth]])</f>
        <v>201003</v>
      </c>
      <c r="H247">
        <v>522.73</v>
      </c>
    </row>
    <row r="248" spans="1:8">
      <c r="A248" s="1">
        <v>40269</v>
      </c>
      <c r="B248" s="2" t="s">
        <v>24</v>
      </c>
      <c r="C248">
        <v>277.93</v>
      </c>
      <c r="D248">
        <v>1</v>
      </c>
      <c r="E248">
        <v>1</v>
      </c>
      <c r="F248">
        <v>94</v>
      </c>
      <c r="G248">
        <f>YEAR(tbl_kpi_country[[#This Row],[InvoiceMonth]])*100 + MONTH(tbl_kpi_country[[#This Row],[InvoiceMonth]])</f>
        <v>201004</v>
      </c>
      <c r="H248">
        <v>277.93</v>
      </c>
    </row>
    <row r="249" spans="1:8">
      <c r="A249" s="1">
        <v>40299</v>
      </c>
      <c r="B249" s="2" t="s">
        <v>24</v>
      </c>
      <c r="C249">
        <v>2476.2199999999998</v>
      </c>
      <c r="D249">
        <v>2</v>
      </c>
      <c r="E249">
        <v>2</v>
      </c>
      <c r="F249">
        <v>806</v>
      </c>
      <c r="G249">
        <f>YEAR(tbl_kpi_country[[#This Row],[InvoiceMonth]])*100 + MONTH(tbl_kpi_country[[#This Row],[InvoiceMonth]])</f>
        <v>201005</v>
      </c>
      <c r="H249">
        <v>1238.1099999999999</v>
      </c>
    </row>
    <row r="250" spans="1:8">
      <c r="A250" s="1">
        <v>40330</v>
      </c>
      <c r="B250" s="2" t="s">
        <v>24</v>
      </c>
      <c r="C250">
        <v>302.39999999999998</v>
      </c>
      <c r="D250">
        <v>1</v>
      </c>
      <c r="E250">
        <v>1</v>
      </c>
      <c r="F250">
        <v>120</v>
      </c>
      <c r="G250">
        <f>YEAR(tbl_kpi_country[[#This Row],[InvoiceMonth]])*100 + MONTH(tbl_kpi_country[[#This Row],[InvoiceMonth]])</f>
        <v>201006</v>
      </c>
      <c r="H250">
        <v>302.39999999999998</v>
      </c>
    </row>
    <row r="251" spans="1:8">
      <c r="A251" s="1">
        <v>40391</v>
      </c>
      <c r="B251" s="2" t="s">
        <v>24</v>
      </c>
      <c r="C251">
        <v>721.70999999999992</v>
      </c>
      <c r="D251">
        <v>1</v>
      </c>
      <c r="E251">
        <v>1</v>
      </c>
      <c r="F251">
        <v>561</v>
      </c>
      <c r="G251">
        <f>YEAR(tbl_kpi_country[[#This Row],[InvoiceMonth]])*100 + MONTH(tbl_kpi_country[[#This Row],[InvoiceMonth]])</f>
        <v>201008</v>
      </c>
      <c r="H251">
        <v>721.70999999999992</v>
      </c>
    </row>
    <row r="252" spans="1:8">
      <c r="A252" s="1">
        <v>40422</v>
      </c>
      <c r="B252" s="2" t="s">
        <v>24</v>
      </c>
      <c r="C252">
        <v>780.06</v>
      </c>
      <c r="D252">
        <v>1</v>
      </c>
      <c r="E252">
        <v>1</v>
      </c>
      <c r="F252">
        <v>146</v>
      </c>
      <c r="G252">
        <f>YEAR(tbl_kpi_country[[#This Row],[InvoiceMonth]])*100 + MONTH(tbl_kpi_country[[#This Row],[InvoiceMonth]])</f>
        <v>201009</v>
      </c>
      <c r="H252">
        <v>780.06</v>
      </c>
    </row>
    <row r="253" spans="1:8">
      <c r="A253" s="1">
        <v>40452</v>
      </c>
      <c r="B253" s="2" t="s">
        <v>24</v>
      </c>
      <c r="C253">
        <v>3084.02</v>
      </c>
      <c r="D253">
        <v>1</v>
      </c>
      <c r="E253">
        <v>1</v>
      </c>
      <c r="F253">
        <v>1753</v>
      </c>
      <c r="G253">
        <f>YEAR(tbl_kpi_country[[#This Row],[InvoiceMonth]])*100 + MONTH(tbl_kpi_country[[#This Row],[InvoiceMonth]])</f>
        <v>201010</v>
      </c>
      <c r="H253">
        <v>3084.02</v>
      </c>
    </row>
    <row r="254" spans="1:8">
      <c r="A254" s="1">
        <v>40483</v>
      </c>
      <c r="B254" s="2" t="s">
        <v>24</v>
      </c>
      <c r="C254">
        <v>761.3</v>
      </c>
      <c r="D254">
        <v>1</v>
      </c>
      <c r="E254">
        <v>1</v>
      </c>
      <c r="F254">
        <v>414</v>
      </c>
      <c r="G254">
        <f>YEAR(tbl_kpi_country[[#This Row],[InvoiceMonth]])*100 + MONTH(tbl_kpi_country[[#This Row],[InvoiceMonth]])</f>
        <v>201011</v>
      </c>
      <c r="H254">
        <v>761.3</v>
      </c>
    </row>
    <row r="255" spans="1:8">
      <c r="A255" s="1">
        <v>40544</v>
      </c>
      <c r="B255" s="2" t="s">
        <v>24</v>
      </c>
      <c r="C255">
        <v>2661.24</v>
      </c>
      <c r="D255">
        <v>1</v>
      </c>
      <c r="E255">
        <v>1</v>
      </c>
      <c r="F255">
        <v>526</v>
      </c>
      <c r="G255">
        <f>YEAR(tbl_kpi_country[[#This Row],[InvoiceMonth]])*100 + MONTH(tbl_kpi_country[[#This Row],[InvoiceMonth]])</f>
        <v>201101</v>
      </c>
      <c r="H255">
        <v>2661.24</v>
      </c>
    </row>
    <row r="256" spans="1:8">
      <c r="A256" s="1">
        <v>40603</v>
      </c>
      <c r="B256" s="2" t="s">
        <v>24</v>
      </c>
      <c r="C256">
        <v>387.31</v>
      </c>
      <c r="D256">
        <v>1</v>
      </c>
      <c r="E256">
        <v>1</v>
      </c>
      <c r="F256">
        <v>289</v>
      </c>
      <c r="G256">
        <f>YEAR(tbl_kpi_country[[#This Row],[InvoiceMonth]])*100 + MONTH(tbl_kpi_country[[#This Row],[InvoiceMonth]])</f>
        <v>201103</v>
      </c>
      <c r="H256">
        <v>387.31</v>
      </c>
    </row>
    <row r="257" spans="1:8">
      <c r="A257" s="1">
        <v>40634</v>
      </c>
      <c r="B257" s="2" t="s">
        <v>24</v>
      </c>
      <c r="C257">
        <v>609.74</v>
      </c>
      <c r="D257">
        <v>1</v>
      </c>
      <c r="E257">
        <v>1</v>
      </c>
      <c r="F257">
        <v>262</v>
      </c>
      <c r="G257">
        <f>YEAR(tbl_kpi_country[[#This Row],[InvoiceMonth]])*100 + MONTH(tbl_kpi_country[[#This Row],[InvoiceMonth]])</f>
        <v>201104</v>
      </c>
      <c r="H257">
        <v>609.74</v>
      </c>
    </row>
    <row r="258" spans="1:8">
      <c r="A258" s="1">
        <v>40725</v>
      </c>
      <c r="B258" s="2" t="s">
        <v>24</v>
      </c>
      <c r="C258">
        <v>421.24</v>
      </c>
      <c r="D258">
        <v>1</v>
      </c>
      <c r="E258">
        <v>1</v>
      </c>
      <c r="F258">
        <v>244</v>
      </c>
      <c r="G258">
        <f>YEAR(tbl_kpi_country[[#This Row],[InvoiceMonth]])*100 + MONTH(tbl_kpi_country[[#This Row],[InvoiceMonth]])</f>
        <v>201107</v>
      </c>
      <c r="H258">
        <v>421.24</v>
      </c>
    </row>
    <row r="259" spans="1:8">
      <c r="A259" s="1">
        <v>40878</v>
      </c>
      <c r="B259" s="2" t="s">
        <v>24</v>
      </c>
      <c r="C259">
        <v>680.99</v>
      </c>
      <c r="D259">
        <v>1</v>
      </c>
      <c r="E259">
        <v>1</v>
      </c>
      <c r="F259">
        <v>236</v>
      </c>
      <c r="G259">
        <f>YEAR(tbl_kpi_country[[#This Row],[InvoiceMonth]])*100 + MONTH(tbl_kpi_country[[#This Row],[InvoiceMonth]])</f>
        <v>201112</v>
      </c>
      <c r="H259">
        <v>680.99</v>
      </c>
    </row>
    <row r="260" spans="1:8">
      <c r="A260" s="1">
        <v>40452</v>
      </c>
      <c r="B260" s="2" t="s">
        <v>25</v>
      </c>
      <c r="C260">
        <v>611.53</v>
      </c>
      <c r="D260">
        <v>1</v>
      </c>
      <c r="E260">
        <v>1</v>
      </c>
      <c r="F260">
        <v>509</v>
      </c>
      <c r="G260">
        <f>YEAR(tbl_kpi_country[[#This Row],[InvoiceMonth]])*100 + MONTH(tbl_kpi_country[[#This Row],[InvoiceMonth]])</f>
        <v>201010</v>
      </c>
      <c r="H260">
        <v>611.53</v>
      </c>
    </row>
    <row r="261" spans="1:8">
      <c r="A261" s="1">
        <v>40513</v>
      </c>
      <c r="B261" s="2" t="s">
        <v>25</v>
      </c>
      <c r="C261">
        <v>1423.58</v>
      </c>
      <c r="D261">
        <v>1</v>
      </c>
      <c r="E261">
        <v>1</v>
      </c>
      <c r="F261">
        <v>638</v>
      </c>
      <c r="G261">
        <f>YEAR(tbl_kpi_country[[#This Row],[InvoiceMonth]])*100 + MONTH(tbl_kpi_country[[#This Row],[InvoiceMonth]])</f>
        <v>201012</v>
      </c>
      <c r="H261">
        <v>1423.58</v>
      </c>
    </row>
    <row r="262" spans="1:8">
      <c r="A262" s="1">
        <v>40544</v>
      </c>
      <c r="B262" s="2" t="s">
        <v>25</v>
      </c>
      <c r="C262">
        <v>475.39</v>
      </c>
      <c r="D262">
        <v>1</v>
      </c>
      <c r="E262">
        <v>1</v>
      </c>
      <c r="F262">
        <v>315</v>
      </c>
      <c r="G262">
        <f>YEAR(tbl_kpi_country[[#This Row],[InvoiceMonth]])*100 + MONTH(tbl_kpi_country[[#This Row],[InvoiceMonth]])</f>
        <v>201101</v>
      </c>
      <c r="H262">
        <v>475.39</v>
      </c>
    </row>
    <row r="263" spans="1:8">
      <c r="A263" s="1">
        <v>40634</v>
      </c>
      <c r="B263" s="2" t="s">
        <v>25</v>
      </c>
      <c r="C263">
        <v>636.25</v>
      </c>
      <c r="D263">
        <v>1</v>
      </c>
      <c r="E263">
        <v>1</v>
      </c>
      <c r="F263">
        <v>483</v>
      </c>
      <c r="G263">
        <f>YEAR(tbl_kpi_country[[#This Row],[InvoiceMonth]])*100 + MONTH(tbl_kpi_country[[#This Row],[InvoiceMonth]])</f>
        <v>201104</v>
      </c>
      <c r="H263">
        <v>636.25</v>
      </c>
    </row>
    <row r="264" spans="1:8">
      <c r="A264" s="1">
        <v>40695</v>
      </c>
      <c r="B264" s="2" t="s">
        <v>25</v>
      </c>
      <c r="C264">
        <v>382.52</v>
      </c>
      <c r="D264">
        <v>1</v>
      </c>
      <c r="E264">
        <v>1</v>
      </c>
      <c r="F264">
        <v>196</v>
      </c>
      <c r="G264">
        <f>YEAR(tbl_kpi_country[[#This Row],[InvoiceMonth]])*100 + MONTH(tbl_kpi_country[[#This Row],[InvoiceMonth]])</f>
        <v>201106</v>
      </c>
      <c r="H264">
        <v>382.52</v>
      </c>
    </row>
    <row r="265" spans="1:8">
      <c r="A265" s="1">
        <v>40756</v>
      </c>
      <c r="B265" s="2" t="s">
        <v>25</v>
      </c>
      <c r="C265">
        <v>584.91000000000008</v>
      </c>
      <c r="D265">
        <v>1</v>
      </c>
      <c r="E265">
        <v>1</v>
      </c>
      <c r="F265">
        <v>277</v>
      </c>
      <c r="G265">
        <f>YEAR(tbl_kpi_country[[#This Row],[InvoiceMonth]])*100 + MONTH(tbl_kpi_country[[#This Row],[InvoiceMonth]])</f>
        <v>201108</v>
      </c>
      <c r="H265">
        <v>584.91000000000008</v>
      </c>
    </row>
    <row r="266" spans="1:8">
      <c r="A266" s="1">
        <v>40817</v>
      </c>
      <c r="B266" s="2" t="s">
        <v>25</v>
      </c>
      <c r="C266">
        <v>1294.32</v>
      </c>
      <c r="D266">
        <v>1</v>
      </c>
      <c r="E266">
        <v>1</v>
      </c>
      <c r="F266">
        <v>676</v>
      </c>
      <c r="G266">
        <f>YEAR(tbl_kpi_country[[#This Row],[InvoiceMonth]])*100 + MONTH(tbl_kpi_country[[#This Row],[InvoiceMonth]])</f>
        <v>201110</v>
      </c>
      <c r="H266">
        <v>1294.32</v>
      </c>
    </row>
    <row r="267" spans="1:8">
      <c r="A267" s="1">
        <v>40878</v>
      </c>
      <c r="B267" s="2" t="s">
        <v>25</v>
      </c>
      <c r="C267">
        <v>224.82</v>
      </c>
      <c r="D267">
        <v>1</v>
      </c>
      <c r="E267">
        <v>1</v>
      </c>
      <c r="F267">
        <v>192</v>
      </c>
      <c r="G267">
        <f>YEAR(tbl_kpi_country[[#This Row],[InvoiceMonth]])*100 + MONTH(tbl_kpi_country[[#This Row],[InvoiceMonth]])</f>
        <v>201112</v>
      </c>
      <c r="H267">
        <v>224.82</v>
      </c>
    </row>
    <row r="268" spans="1:8">
      <c r="A268" s="1">
        <v>40360</v>
      </c>
      <c r="B268" s="2" t="s">
        <v>26</v>
      </c>
      <c r="C268">
        <v>1950.98</v>
      </c>
      <c r="D268">
        <v>1</v>
      </c>
      <c r="E268">
        <v>1</v>
      </c>
      <c r="F268">
        <v>762</v>
      </c>
      <c r="G268">
        <f>YEAR(tbl_kpi_country[[#This Row],[InvoiceMonth]])*100 + MONTH(tbl_kpi_country[[#This Row],[InvoiceMonth]])</f>
        <v>201007</v>
      </c>
      <c r="H268">
        <v>1950.98</v>
      </c>
    </row>
    <row r="269" spans="1:8">
      <c r="A269" s="1">
        <v>40483</v>
      </c>
      <c r="B269" s="2" t="s">
        <v>26</v>
      </c>
      <c r="C269">
        <v>1248.42</v>
      </c>
      <c r="D269">
        <v>1</v>
      </c>
      <c r="E269">
        <v>1</v>
      </c>
      <c r="F269">
        <v>370</v>
      </c>
      <c r="G269">
        <f>YEAR(tbl_kpi_country[[#This Row],[InvoiceMonth]])*100 + MONTH(tbl_kpi_country[[#This Row],[InvoiceMonth]])</f>
        <v>201011</v>
      </c>
      <c r="H269">
        <v>1248.42</v>
      </c>
    </row>
    <row r="270" spans="1:8">
      <c r="A270" s="1">
        <v>40575</v>
      </c>
      <c r="B270" s="2" t="s">
        <v>26</v>
      </c>
      <c r="C270">
        <v>779.1</v>
      </c>
      <c r="D270">
        <v>1</v>
      </c>
      <c r="E270">
        <v>1</v>
      </c>
      <c r="F270">
        <v>286</v>
      </c>
      <c r="G270">
        <f>YEAR(tbl_kpi_country[[#This Row],[InvoiceMonth]])*100 + MONTH(tbl_kpi_country[[#This Row],[InvoiceMonth]])</f>
        <v>201102</v>
      </c>
      <c r="H270">
        <v>779.1</v>
      </c>
    </row>
    <row r="271" spans="1:8">
      <c r="A271" s="1">
        <v>40725</v>
      </c>
      <c r="B271" s="2" t="s">
        <v>26</v>
      </c>
      <c r="C271">
        <v>1430.75</v>
      </c>
      <c r="D271">
        <v>1</v>
      </c>
      <c r="E271">
        <v>1</v>
      </c>
      <c r="F271">
        <v>633</v>
      </c>
      <c r="G271">
        <f>YEAR(tbl_kpi_country[[#This Row],[InvoiceMonth]])*100 + MONTH(tbl_kpi_country[[#This Row],[InvoiceMonth]])</f>
        <v>201107</v>
      </c>
      <c r="H271">
        <v>1430.75</v>
      </c>
    </row>
    <row r="272" spans="1:8">
      <c r="A272" s="1">
        <v>40756</v>
      </c>
      <c r="B272" s="2" t="s">
        <v>26</v>
      </c>
      <c r="C272">
        <v>4873.8099999999995</v>
      </c>
      <c r="D272">
        <v>1</v>
      </c>
      <c r="E272">
        <v>1</v>
      </c>
      <c r="F272">
        <v>3028</v>
      </c>
      <c r="G272">
        <f>YEAR(tbl_kpi_country[[#This Row],[InvoiceMonth]])*100 + MONTH(tbl_kpi_country[[#This Row],[InvoiceMonth]])</f>
        <v>201108</v>
      </c>
      <c r="H272">
        <v>4873.8099999999995</v>
      </c>
    </row>
    <row r="273" spans="1:8">
      <c r="A273" s="1">
        <v>40817</v>
      </c>
      <c r="B273" s="2" t="s">
        <v>26</v>
      </c>
      <c r="C273">
        <v>132.18</v>
      </c>
      <c r="D273">
        <v>2</v>
      </c>
      <c r="E273">
        <v>1</v>
      </c>
      <c r="F273">
        <v>96</v>
      </c>
      <c r="G273">
        <f>YEAR(tbl_kpi_country[[#This Row],[InvoiceMonth]])*100 + MONTH(tbl_kpi_country[[#This Row],[InvoiceMonth]])</f>
        <v>201110</v>
      </c>
      <c r="H273">
        <v>66.09</v>
      </c>
    </row>
    <row r="274" spans="1:8">
      <c r="A274" s="1">
        <v>40148</v>
      </c>
      <c r="B274" s="2" t="s">
        <v>27</v>
      </c>
      <c r="C274">
        <v>422.35</v>
      </c>
      <c r="D274">
        <v>1</v>
      </c>
      <c r="E274">
        <v>1</v>
      </c>
      <c r="F274">
        <v>157</v>
      </c>
      <c r="G274">
        <f>YEAR(tbl_kpi_country[[#This Row],[InvoiceMonth]])*100 + MONTH(tbl_kpi_country[[#This Row],[InvoiceMonth]])</f>
        <v>200912</v>
      </c>
      <c r="H274">
        <v>422.35</v>
      </c>
    </row>
    <row r="275" spans="1:8">
      <c r="A275" s="1">
        <v>40179</v>
      </c>
      <c r="B275" s="2" t="s">
        <v>27</v>
      </c>
      <c r="C275">
        <v>39.67</v>
      </c>
      <c r="D275">
        <v>1</v>
      </c>
      <c r="E275">
        <v>1</v>
      </c>
      <c r="F275">
        <v>1</v>
      </c>
      <c r="G275">
        <f>YEAR(tbl_kpi_country[[#This Row],[InvoiceMonth]])*100 + MONTH(tbl_kpi_country[[#This Row],[InvoiceMonth]])</f>
        <v>201001</v>
      </c>
      <c r="H275">
        <v>39.67</v>
      </c>
    </row>
    <row r="276" spans="1:8">
      <c r="A276" s="1">
        <v>40238</v>
      </c>
      <c r="B276" s="2" t="s">
        <v>27</v>
      </c>
      <c r="C276">
        <v>734.22</v>
      </c>
      <c r="D276">
        <v>2</v>
      </c>
      <c r="E276">
        <v>2</v>
      </c>
      <c r="F276">
        <v>499</v>
      </c>
      <c r="G276">
        <f>YEAR(tbl_kpi_country[[#This Row],[InvoiceMonth]])*100 + MONTH(tbl_kpi_country[[#This Row],[InvoiceMonth]])</f>
        <v>201003</v>
      </c>
      <c r="H276">
        <v>367.11</v>
      </c>
    </row>
    <row r="277" spans="1:8">
      <c r="A277" s="1">
        <v>40269</v>
      </c>
      <c r="B277" s="2" t="s">
        <v>27</v>
      </c>
      <c r="C277">
        <v>1525.85</v>
      </c>
      <c r="D277">
        <v>2</v>
      </c>
      <c r="E277">
        <v>2</v>
      </c>
      <c r="F277">
        <v>890</v>
      </c>
      <c r="G277">
        <f>YEAR(tbl_kpi_country[[#This Row],[InvoiceMonth]])*100 + MONTH(tbl_kpi_country[[#This Row],[InvoiceMonth]])</f>
        <v>201004</v>
      </c>
      <c r="H277">
        <v>762.92499999999995</v>
      </c>
    </row>
    <row r="278" spans="1:8">
      <c r="A278" s="1">
        <v>40299</v>
      </c>
      <c r="B278" s="2" t="s">
        <v>27</v>
      </c>
      <c r="C278">
        <v>2373.4499999999998</v>
      </c>
      <c r="D278">
        <v>4</v>
      </c>
      <c r="E278">
        <v>3</v>
      </c>
      <c r="F278">
        <v>1042</v>
      </c>
      <c r="G278">
        <f>YEAR(tbl_kpi_country[[#This Row],[InvoiceMonth]])*100 + MONTH(tbl_kpi_country[[#This Row],[InvoiceMonth]])</f>
        <v>201005</v>
      </c>
      <c r="H278">
        <v>593.36249999999995</v>
      </c>
    </row>
    <row r="279" spans="1:8">
      <c r="A279" s="1">
        <v>40330</v>
      </c>
      <c r="B279" s="2" t="s">
        <v>27</v>
      </c>
      <c r="C279">
        <v>267.45</v>
      </c>
      <c r="D279">
        <v>2</v>
      </c>
      <c r="E279">
        <v>2</v>
      </c>
      <c r="F279">
        <v>134</v>
      </c>
      <c r="G279">
        <f>YEAR(tbl_kpi_country[[#This Row],[InvoiceMonth]])*100 + MONTH(tbl_kpi_country[[#This Row],[InvoiceMonth]])</f>
        <v>201006</v>
      </c>
      <c r="H279">
        <v>133.72499999999999</v>
      </c>
    </row>
    <row r="280" spans="1:8">
      <c r="A280" s="1">
        <v>40422</v>
      </c>
      <c r="B280" s="2" t="s">
        <v>27</v>
      </c>
      <c r="C280">
        <v>1380.56</v>
      </c>
      <c r="D280">
        <v>2</v>
      </c>
      <c r="E280">
        <v>2</v>
      </c>
      <c r="F280">
        <v>1074</v>
      </c>
      <c r="G280">
        <f>YEAR(tbl_kpi_country[[#This Row],[InvoiceMonth]])*100 + MONTH(tbl_kpi_country[[#This Row],[InvoiceMonth]])</f>
        <v>201009</v>
      </c>
      <c r="H280">
        <v>690.28</v>
      </c>
    </row>
    <row r="281" spans="1:8">
      <c r="A281" s="1">
        <v>40452</v>
      </c>
      <c r="B281" s="2" t="s">
        <v>27</v>
      </c>
      <c r="C281">
        <v>5208.22</v>
      </c>
      <c r="D281">
        <v>7</v>
      </c>
      <c r="E281">
        <v>7</v>
      </c>
      <c r="F281">
        <v>2116</v>
      </c>
      <c r="G281">
        <f>YEAR(tbl_kpi_country[[#This Row],[InvoiceMonth]])*100 + MONTH(tbl_kpi_country[[#This Row],[InvoiceMonth]])</f>
        <v>201010</v>
      </c>
      <c r="H281">
        <v>744.03142857142859</v>
      </c>
    </row>
    <row r="282" spans="1:8">
      <c r="A282" s="1">
        <v>40483</v>
      </c>
      <c r="B282" s="2" t="s">
        <v>27</v>
      </c>
      <c r="C282">
        <v>2673.16</v>
      </c>
      <c r="D282">
        <v>6</v>
      </c>
      <c r="E282">
        <v>5</v>
      </c>
      <c r="F282">
        <v>1287</v>
      </c>
      <c r="G282">
        <f>YEAR(tbl_kpi_country[[#This Row],[InvoiceMonth]])*100 + MONTH(tbl_kpi_country[[#This Row],[InvoiceMonth]])</f>
        <v>201011</v>
      </c>
      <c r="H282">
        <v>445.52666666666664</v>
      </c>
    </row>
    <row r="283" spans="1:8">
      <c r="A283" s="1">
        <v>40513</v>
      </c>
      <c r="B283" s="2" t="s">
        <v>27</v>
      </c>
      <c r="C283">
        <v>1239.3</v>
      </c>
      <c r="D283">
        <v>2</v>
      </c>
      <c r="E283">
        <v>2</v>
      </c>
      <c r="F283">
        <v>459</v>
      </c>
      <c r="G283">
        <f>YEAR(tbl_kpi_country[[#This Row],[InvoiceMonth]])*100 + MONTH(tbl_kpi_country[[#This Row],[InvoiceMonth]])</f>
        <v>201012</v>
      </c>
      <c r="H283">
        <v>619.65</v>
      </c>
    </row>
    <row r="284" spans="1:8">
      <c r="A284" s="1">
        <v>40544</v>
      </c>
      <c r="B284" s="2" t="s">
        <v>27</v>
      </c>
      <c r="C284">
        <v>2402.5100000000002</v>
      </c>
      <c r="D284">
        <v>3</v>
      </c>
      <c r="E284">
        <v>3</v>
      </c>
      <c r="F284">
        <v>1121</v>
      </c>
      <c r="G284">
        <f>YEAR(tbl_kpi_country[[#This Row],[InvoiceMonth]])*100 + MONTH(tbl_kpi_country[[#This Row],[InvoiceMonth]])</f>
        <v>201101</v>
      </c>
      <c r="H284">
        <v>800.8366666666667</v>
      </c>
    </row>
    <row r="285" spans="1:8">
      <c r="A285" s="1">
        <v>40575</v>
      </c>
      <c r="B285" s="2" t="s">
        <v>27</v>
      </c>
      <c r="C285">
        <v>256</v>
      </c>
      <c r="D285">
        <v>1</v>
      </c>
      <c r="E285">
        <v>1</v>
      </c>
      <c r="F285">
        <v>111</v>
      </c>
      <c r="G285">
        <f>YEAR(tbl_kpi_country[[#This Row],[InvoiceMonth]])*100 + MONTH(tbl_kpi_country[[#This Row],[InvoiceMonth]])</f>
        <v>201102</v>
      </c>
      <c r="H285">
        <v>256</v>
      </c>
    </row>
    <row r="286" spans="1:8">
      <c r="A286" s="1">
        <v>40603</v>
      </c>
      <c r="B286" s="2" t="s">
        <v>27</v>
      </c>
      <c r="C286">
        <v>1806.81</v>
      </c>
      <c r="D286">
        <v>4</v>
      </c>
      <c r="E286">
        <v>3</v>
      </c>
      <c r="F286">
        <v>688</v>
      </c>
      <c r="G286">
        <f>YEAR(tbl_kpi_country[[#This Row],[InvoiceMonth]])*100 + MONTH(tbl_kpi_country[[#This Row],[InvoiceMonth]])</f>
        <v>201103</v>
      </c>
      <c r="H286">
        <v>451.70249999999999</v>
      </c>
    </row>
    <row r="287" spans="1:8">
      <c r="A287" s="1">
        <v>40634</v>
      </c>
      <c r="B287" s="2" t="s">
        <v>27</v>
      </c>
      <c r="C287">
        <v>737.82999999999993</v>
      </c>
      <c r="D287">
        <v>2</v>
      </c>
      <c r="E287">
        <v>2</v>
      </c>
      <c r="F287">
        <v>653</v>
      </c>
      <c r="G287">
        <f>YEAR(tbl_kpi_country[[#This Row],[InvoiceMonth]])*100 + MONTH(tbl_kpi_country[[#This Row],[InvoiceMonth]])</f>
        <v>201104</v>
      </c>
      <c r="H287">
        <v>368.91499999999996</v>
      </c>
    </row>
    <row r="288" spans="1:8">
      <c r="A288" s="1">
        <v>40664</v>
      </c>
      <c r="B288" s="2" t="s">
        <v>27</v>
      </c>
      <c r="C288">
        <v>587.45000000000005</v>
      </c>
      <c r="D288">
        <v>1</v>
      </c>
      <c r="E288">
        <v>1</v>
      </c>
      <c r="F288">
        <v>267</v>
      </c>
      <c r="G288">
        <f>YEAR(tbl_kpi_country[[#This Row],[InvoiceMonth]])*100 + MONTH(tbl_kpi_country[[#This Row],[InvoiceMonth]])</f>
        <v>201105</v>
      </c>
      <c r="H288">
        <v>587.45000000000005</v>
      </c>
    </row>
    <row r="289" spans="1:8">
      <c r="A289" s="1">
        <v>40695</v>
      </c>
      <c r="B289" s="2" t="s">
        <v>27</v>
      </c>
      <c r="C289">
        <v>202.07</v>
      </c>
      <c r="D289">
        <v>2</v>
      </c>
      <c r="E289">
        <v>2</v>
      </c>
      <c r="F289">
        <v>55</v>
      </c>
      <c r="G289">
        <f>YEAR(tbl_kpi_country[[#This Row],[InvoiceMonth]])*100 + MONTH(tbl_kpi_country[[#This Row],[InvoiceMonth]])</f>
        <v>201106</v>
      </c>
      <c r="H289">
        <v>101.035</v>
      </c>
    </row>
    <row r="290" spans="1:8">
      <c r="A290" s="1">
        <v>40725</v>
      </c>
      <c r="B290" s="2" t="s">
        <v>27</v>
      </c>
      <c r="C290">
        <v>147.1</v>
      </c>
      <c r="D290">
        <v>1</v>
      </c>
      <c r="E290">
        <v>1</v>
      </c>
      <c r="F290">
        <v>22</v>
      </c>
      <c r="G290">
        <f>YEAR(tbl_kpi_country[[#This Row],[InvoiceMonth]])*100 + MONTH(tbl_kpi_country[[#This Row],[InvoiceMonth]])</f>
        <v>201107</v>
      </c>
      <c r="H290">
        <v>147.1</v>
      </c>
    </row>
    <row r="291" spans="1:8">
      <c r="A291" s="1">
        <v>40756</v>
      </c>
      <c r="B291" s="2" t="s">
        <v>27</v>
      </c>
      <c r="C291">
        <v>1990.95</v>
      </c>
      <c r="D291">
        <v>4</v>
      </c>
      <c r="E291">
        <v>3</v>
      </c>
      <c r="F291">
        <v>1147</v>
      </c>
      <c r="G291">
        <f>YEAR(tbl_kpi_country[[#This Row],[InvoiceMonth]])*100 + MONTH(tbl_kpi_country[[#This Row],[InvoiceMonth]])</f>
        <v>201108</v>
      </c>
      <c r="H291">
        <v>497.73750000000001</v>
      </c>
    </row>
    <row r="292" spans="1:8">
      <c r="A292" s="1">
        <v>40787</v>
      </c>
      <c r="B292" s="2" t="s">
        <v>27</v>
      </c>
      <c r="C292">
        <v>279.8</v>
      </c>
      <c r="D292">
        <v>1</v>
      </c>
      <c r="E292">
        <v>1</v>
      </c>
      <c r="F292">
        <v>48</v>
      </c>
      <c r="G292">
        <f>YEAR(tbl_kpi_country[[#This Row],[InvoiceMonth]])*100 + MONTH(tbl_kpi_country[[#This Row],[InvoiceMonth]])</f>
        <v>201109</v>
      </c>
      <c r="H292">
        <v>279.8</v>
      </c>
    </row>
    <row r="293" spans="1:8">
      <c r="A293" s="1">
        <v>40817</v>
      </c>
      <c r="B293" s="2" t="s">
        <v>27</v>
      </c>
      <c r="C293">
        <v>3489.69</v>
      </c>
      <c r="D293">
        <v>7</v>
      </c>
      <c r="E293">
        <v>5</v>
      </c>
      <c r="F293">
        <v>1597</v>
      </c>
      <c r="G293">
        <f>YEAR(tbl_kpi_country[[#This Row],[InvoiceMonth]])*100 + MONTH(tbl_kpi_country[[#This Row],[InvoiceMonth]])</f>
        <v>201110</v>
      </c>
      <c r="H293">
        <v>498.52714285714285</v>
      </c>
    </row>
    <row r="294" spans="1:8">
      <c r="A294" s="1">
        <v>40848</v>
      </c>
      <c r="B294" s="2" t="s">
        <v>27</v>
      </c>
      <c r="C294">
        <v>4571.08</v>
      </c>
      <c r="D294">
        <v>9</v>
      </c>
      <c r="E294">
        <v>9</v>
      </c>
      <c r="F294">
        <v>2063</v>
      </c>
      <c r="G294">
        <f>YEAR(tbl_kpi_country[[#This Row],[InvoiceMonth]])*100 + MONTH(tbl_kpi_country[[#This Row],[InvoiceMonth]])</f>
        <v>201111</v>
      </c>
      <c r="H294">
        <v>507.89777777777778</v>
      </c>
    </row>
    <row r="295" spans="1:8">
      <c r="A295" s="1">
        <v>40878</v>
      </c>
      <c r="B295" s="2" t="s">
        <v>27</v>
      </c>
      <c r="C295">
        <v>200.45000000000002</v>
      </c>
      <c r="D295">
        <v>1</v>
      </c>
      <c r="E295">
        <v>1</v>
      </c>
      <c r="F295">
        <v>45</v>
      </c>
      <c r="G295">
        <f>YEAR(tbl_kpi_country[[#This Row],[InvoiceMonth]])*100 + MONTH(tbl_kpi_country[[#This Row],[InvoiceMonth]])</f>
        <v>201112</v>
      </c>
      <c r="H295">
        <v>200.45000000000002</v>
      </c>
    </row>
    <row r="296" spans="1:8">
      <c r="A296" s="1">
        <v>40179</v>
      </c>
      <c r="B296" s="2" t="s">
        <v>28</v>
      </c>
      <c r="C296">
        <v>2.95</v>
      </c>
      <c r="D296">
        <v>1</v>
      </c>
      <c r="E296">
        <v>1</v>
      </c>
      <c r="F296">
        <v>1</v>
      </c>
      <c r="G296">
        <f>YEAR(tbl_kpi_country[[#This Row],[InvoiceMonth]])*100 + MONTH(tbl_kpi_country[[#This Row],[InvoiceMonth]])</f>
        <v>201001</v>
      </c>
      <c r="H296">
        <v>2.95</v>
      </c>
    </row>
    <row r="297" spans="1:8">
      <c r="A297" s="1">
        <v>40210</v>
      </c>
      <c r="B297" s="2" t="s">
        <v>28</v>
      </c>
      <c r="C297">
        <v>193.72</v>
      </c>
      <c r="D297">
        <v>2</v>
      </c>
      <c r="E297">
        <v>2</v>
      </c>
      <c r="F297">
        <v>117</v>
      </c>
      <c r="G297">
        <f>YEAR(tbl_kpi_country[[#This Row],[InvoiceMonth]])*100 + MONTH(tbl_kpi_country[[#This Row],[InvoiceMonth]])</f>
        <v>201002</v>
      </c>
      <c r="H297">
        <v>96.86</v>
      </c>
    </row>
    <row r="298" spans="1:8">
      <c r="A298" s="1">
        <v>40238</v>
      </c>
      <c r="B298" s="2" t="s">
        <v>28</v>
      </c>
      <c r="C298">
        <v>110.4</v>
      </c>
      <c r="D298">
        <v>1</v>
      </c>
      <c r="E298">
        <v>1</v>
      </c>
      <c r="F298">
        <v>48</v>
      </c>
      <c r="G298">
        <f>YEAR(tbl_kpi_country[[#This Row],[InvoiceMonth]])*100 + MONTH(tbl_kpi_country[[#This Row],[InvoiceMonth]])</f>
        <v>201003</v>
      </c>
      <c r="H298">
        <v>110.4</v>
      </c>
    </row>
    <row r="299" spans="1:8">
      <c r="A299" s="1">
        <v>40330</v>
      </c>
      <c r="B299" s="2" t="s">
        <v>28</v>
      </c>
      <c r="C299">
        <v>594.67999999999995</v>
      </c>
      <c r="D299">
        <v>2</v>
      </c>
      <c r="E299">
        <v>2</v>
      </c>
      <c r="F299">
        <v>428</v>
      </c>
      <c r="G299">
        <f>YEAR(tbl_kpi_country[[#This Row],[InvoiceMonth]])*100 + MONTH(tbl_kpi_country[[#This Row],[InvoiceMonth]])</f>
        <v>201006</v>
      </c>
      <c r="H299">
        <v>297.33999999999997</v>
      </c>
    </row>
    <row r="300" spans="1:8">
      <c r="A300" s="1">
        <v>40360</v>
      </c>
      <c r="B300" s="2" t="s">
        <v>28</v>
      </c>
      <c r="C300">
        <v>1253.3</v>
      </c>
      <c r="D300">
        <v>3</v>
      </c>
      <c r="E300">
        <v>1</v>
      </c>
      <c r="F300">
        <v>726</v>
      </c>
      <c r="G300">
        <f>YEAR(tbl_kpi_country[[#This Row],[InvoiceMonth]])*100 + MONTH(tbl_kpi_country[[#This Row],[InvoiceMonth]])</f>
        <v>201007</v>
      </c>
      <c r="H300">
        <v>417.76666666666665</v>
      </c>
    </row>
    <row r="301" spans="1:8">
      <c r="A301" s="1">
        <v>40422</v>
      </c>
      <c r="B301" s="2" t="s">
        <v>28</v>
      </c>
      <c r="C301">
        <v>1895</v>
      </c>
      <c r="D301">
        <v>1</v>
      </c>
      <c r="E301">
        <v>1</v>
      </c>
      <c r="F301">
        <v>1100</v>
      </c>
      <c r="G301">
        <f>YEAR(tbl_kpi_country[[#This Row],[InvoiceMonth]])*100 + MONTH(tbl_kpi_country[[#This Row],[InvoiceMonth]])</f>
        <v>201009</v>
      </c>
      <c r="H301">
        <v>1895</v>
      </c>
    </row>
    <row r="302" spans="1:8">
      <c r="A302" s="1">
        <v>40452</v>
      </c>
      <c r="B302" s="2" t="s">
        <v>28</v>
      </c>
      <c r="C302">
        <v>1533.8899999999999</v>
      </c>
      <c r="D302">
        <v>1</v>
      </c>
      <c r="E302">
        <v>1</v>
      </c>
      <c r="F302">
        <v>3199</v>
      </c>
      <c r="G302">
        <f>YEAR(tbl_kpi_country[[#This Row],[InvoiceMonth]])*100 + MONTH(tbl_kpi_country[[#This Row],[InvoiceMonth]])</f>
        <v>201010</v>
      </c>
      <c r="H302">
        <v>1533.8899999999999</v>
      </c>
    </row>
    <row r="303" spans="1:8">
      <c r="A303" s="1">
        <v>40483</v>
      </c>
      <c r="B303" s="2" t="s">
        <v>28</v>
      </c>
      <c r="C303">
        <v>23.6</v>
      </c>
      <c r="D303">
        <v>3</v>
      </c>
      <c r="E303">
        <v>1</v>
      </c>
      <c r="F303">
        <v>8</v>
      </c>
      <c r="G303">
        <f>YEAR(tbl_kpi_country[[#This Row],[InvoiceMonth]])*100 + MONTH(tbl_kpi_country[[#This Row],[InvoiceMonth]])</f>
        <v>201011</v>
      </c>
      <c r="H303">
        <v>7.8666666666666671</v>
      </c>
    </row>
    <row r="304" spans="1:8">
      <c r="A304" s="1">
        <v>40513</v>
      </c>
      <c r="B304" s="2" t="s">
        <v>28</v>
      </c>
      <c r="C304">
        <v>11819.55</v>
      </c>
      <c r="D304">
        <v>3</v>
      </c>
      <c r="E304">
        <v>3</v>
      </c>
      <c r="F304">
        <v>5777</v>
      </c>
      <c r="G304">
        <f>YEAR(tbl_kpi_country[[#This Row],[InvoiceMonth]])*100 + MONTH(tbl_kpi_country[[#This Row],[InvoiceMonth]])</f>
        <v>201012</v>
      </c>
      <c r="H304">
        <v>3939.85</v>
      </c>
    </row>
    <row r="305" spans="1:8">
      <c r="A305" s="1">
        <v>40575</v>
      </c>
      <c r="B305" s="2" t="s">
        <v>28</v>
      </c>
      <c r="C305">
        <v>5780.8099999999995</v>
      </c>
      <c r="D305">
        <v>2</v>
      </c>
      <c r="E305">
        <v>2</v>
      </c>
      <c r="F305">
        <v>2999</v>
      </c>
      <c r="G305">
        <f>YEAR(tbl_kpi_country[[#This Row],[InvoiceMonth]])*100 + MONTH(tbl_kpi_country[[#This Row],[InvoiceMonth]])</f>
        <v>201102</v>
      </c>
      <c r="H305">
        <v>2890.4049999999997</v>
      </c>
    </row>
    <row r="306" spans="1:8">
      <c r="A306" s="1">
        <v>40603</v>
      </c>
      <c r="B306" s="2" t="s">
        <v>28</v>
      </c>
      <c r="C306">
        <v>48.9</v>
      </c>
      <c r="D306">
        <v>3</v>
      </c>
      <c r="E306">
        <v>3</v>
      </c>
      <c r="F306">
        <v>21</v>
      </c>
      <c r="G306">
        <f>YEAR(tbl_kpi_country[[#This Row],[InvoiceMonth]])*100 + MONTH(tbl_kpi_country[[#This Row],[InvoiceMonth]])</f>
        <v>201103</v>
      </c>
      <c r="H306">
        <v>16.3</v>
      </c>
    </row>
    <row r="307" spans="1:8">
      <c r="A307" s="1">
        <v>40634</v>
      </c>
      <c r="B307" s="2" t="s">
        <v>28</v>
      </c>
      <c r="C307">
        <v>6548.5</v>
      </c>
      <c r="D307">
        <v>2</v>
      </c>
      <c r="E307">
        <v>2</v>
      </c>
      <c r="F307">
        <v>8058</v>
      </c>
      <c r="G307">
        <f>YEAR(tbl_kpi_country[[#This Row],[InvoiceMonth]])*100 + MONTH(tbl_kpi_country[[#This Row],[InvoiceMonth]])</f>
        <v>201104</v>
      </c>
      <c r="H307">
        <v>3274.25</v>
      </c>
    </row>
    <row r="308" spans="1:8">
      <c r="A308" s="1">
        <v>40664</v>
      </c>
      <c r="B308" s="2" t="s">
        <v>28</v>
      </c>
      <c r="C308">
        <v>1351.45</v>
      </c>
      <c r="D308">
        <v>1</v>
      </c>
      <c r="E308">
        <v>1</v>
      </c>
      <c r="F308">
        <v>743</v>
      </c>
      <c r="G308">
        <f>YEAR(tbl_kpi_country[[#This Row],[InvoiceMonth]])*100 + MONTH(tbl_kpi_country[[#This Row],[InvoiceMonth]])</f>
        <v>201105</v>
      </c>
      <c r="H308">
        <v>1351.45</v>
      </c>
    </row>
    <row r="309" spans="1:8">
      <c r="A309" s="1">
        <v>40695</v>
      </c>
      <c r="B309" s="2" t="s">
        <v>28</v>
      </c>
      <c r="C309">
        <v>1607.04</v>
      </c>
      <c r="D309">
        <v>1</v>
      </c>
      <c r="E309">
        <v>1</v>
      </c>
      <c r="F309">
        <v>2256</v>
      </c>
      <c r="G309">
        <f>YEAR(tbl_kpi_country[[#This Row],[InvoiceMonth]])*100 + MONTH(tbl_kpi_country[[#This Row],[InvoiceMonth]])</f>
        <v>201106</v>
      </c>
      <c r="H309">
        <v>1607.04</v>
      </c>
    </row>
    <row r="310" spans="1:8">
      <c r="A310" s="1">
        <v>40725</v>
      </c>
      <c r="B310" s="2" t="s">
        <v>28</v>
      </c>
      <c r="C310">
        <v>3854.4</v>
      </c>
      <c r="D310">
        <v>2</v>
      </c>
      <c r="E310">
        <v>2</v>
      </c>
      <c r="F310">
        <v>2328</v>
      </c>
      <c r="G310">
        <f>YEAR(tbl_kpi_country[[#This Row],[InvoiceMonth]])*100 + MONTH(tbl_kpi_country[[#This Row],[InvoiceMonth]])</f>
        <v>201107</v>
      </c>
      <c r="H310">
        <v>1927.2</v>
      </c>
    </row>
    <row r="311" spans="1:8">
      <c r="A311" s="1">
        <v>40787</v>
      </c>
      <c r="B311" s="2" t="s">
        <v>28</v>
      </c>
      <c r="C311">
        <v>112.07999999999998</v>
      </c>
      <c r="D311">
        <v>1</v>
      </c>
      <c r="E311">
        <v>1</v>
      </c>
      <c r="F311">
        <v>144</v>
      </c>
      <c r="G311">
        <f>YEAR(tbl_kpi_country[[#This Row],[InvoiceMonth]])*100 + MONTH(tbl_kpi_country[[#This Row],[InvoiceMonth]])</f>
        <v>201109</v>
      </c>
      <c r="H311">
        <v>112.07999999999998</v>
      </c>
    </row>
    <row r="312" spans="1:8">
      <c r="A312" s="1">
        <v>40817</v>
      </c>
      <c r="B312" s="2" t="s">
        <v>28</v>
      </c>
      <c r="C312">
        <v>1948.0400000000002</v>
      </c>
      <c r="D312">
        <v>2</v>
      </c>
      <c r="E312">
        <v>2</v>
      </c>
      <c r="F312">
        <v>1124</v>
      </c>
      <c r="G312">
        <f>YEAR(tbl_kpi_country[[#This Row],[InvoiceMonth]])*100 + MONTH(tbl_kpi_country[[#This Row],[InvoiceMonth]])</f>
        <v>201110</v>
      </c>
      <c r="H312">
        <v>974.0200000000001</v>
      </c>
    </row>
    <row r="313" spans="1:8">
      <c r="A313" s="1">
        <v>40848</v>
      </c>
      <c r="B313" s="2" t="s">
        <v>28</v>
      </c>
      <c r="C313">
        <v>8460.08</v>
      </c>
      <c r="D313">
        <v>2</v>
      </c>
      <c r="E313">
        <v>2</v>
      </c>
      <c r="F313">
        <v>4250</v>
      </c>
      <c r="G313">
        <f>YEAR(tbl_kpi_country[[#This Row],[InvoiceMonth]])*100 + MONTH(tbl_kpi_country[[#This Row],[InvoiceMonth]])</f>
        <v>201111</v>
      </c>
      <c r="H313">
        <v>4230.04</v>
      </c>
    </row>
    <row r="314" spans="1:8">
      <c r="A314" s="1">
        <v>40422</v>
      </c>
      <c r="B314" s="2" t="s">
        <v>29</v>
      </c>
      <c r="C314">
        <v>168.69000000000003</v>
      </c>
      <c r="D314">
        <v>1</v>
      </c>
      <c r="E314">
        <v>1</v>
      </c>
      <c r="F314">
        <v>102</v>
      </c>
      <c r="G314">
        <f>YEAR(tbl_kpi_country[[#This Row],[InvoiceMonth]])*100 + MONTH(tbl_kpi_country[[#This Row],[InvoiceMonth]])</f>
        <v>201009</v>
      </c>
      <c r="H314">
        <v>168.69000000000003</v>
      </c>
    </row>
    <row r="315" spans="1:8">
      <c r="A315" s="1">
        <v>40483</v>
      </c>
      <c r="B315" s="2" t="s">
        <v>29</v>
      </c>
      <c r="C315">
        <v>949.82</v>
      </c>
      <c r="D315">
        <v>1</v>
      </c>
      <c r="E315">
        <v>1</v>
      </c>
      <c r="F315">
        <v>598</v>
      </c>
      <c r="G315">
        <f>YEAR(tbl_kpi_country[[#This Row],[InvoiceMonth]])*100 + MONTH(tbl_kpi_country[[#This Row],[InvoiceMonth]])</f>
        <v>201011</v>
      </c>
      <c r="H315">
        <v>949.82</v>
      </c>
    </row>
    <row r="316" spans="1:8">
      <c r="A316" s="1">
        <v>40544</v>
      </c>
      <c r="B316" s="2" t="s">
        <v>30</v>
      </c>
      <c r="C316">
        <v>1693.88</v>
      </c>
      <c r="D316">
        <v>1</v>
      </c>
      <c r="E316">
        <v>1</v>
      </c>
      <c r="F316">
        <v>386</v>
      </c>
      <c r="G316">
        <f>YEAR(tbl_kpi_country[[#This Row],[InvoiceMonth]])*100 + MONTH(tbl_kpi_country[[#This Row],[InvoiceMonth]])</f>
        <v>201101</v>
      </c>
      <c r="H316">
        <v>1693.88</v>
      </c>
    </row>
    <row r="317" spans="1:8">
      <c r="A317" s="1">
        <v>40360</v>
      </c>
      <c r="B317" s="2" t="s">
        <v>31</v>
      </c>
      <c r="C317">
        <v>1706.23</v>
      </c>
      <c r="D317">
        <v>1</v>
      </c>
      <c r="E317">
        <v>1</v>
      </c>
      <c r="F317">
        <v>971</v>
      </c>
      <c r="G317">
        <f>YEAR(tbl_kpi_country[[#This Row],[InvoiceMonth]])*100 + MONTH(tbl_kpi_country[[#This Row],[InvoiceMonth]])</f>
        <v>201007</v>
      </c>
      <c r="H317">
        <v>1706.23</v>
      </c>
    </row>
    <row r="318" spans="1:8">
      <c r="A318" s="1">
        <v>40483</v>
      </c>
      <c r="B318" s="2" t="s">
        <v>31</v>
      </c>
      <c r="C318">
        <v>1525.39</v>
      </c>
      <c r="D318">
        <v>1</v>
      </c>
      <c r="E318">
        <v>1</v>
      </c>
      <c r="F318">
        <v>683</v>
      </c>
      <c r="G318">
        <f>YEAR(tbl_kpi_country[[#This Row],[InvoiceMonth]])*100 + MONTH(tbl_kpi_country[[#This Row],[InvoiceMonth]])</f>
        <v>201011</v>
      </c>
      <c r="H318">
        <v>1525.39</v>
      </c>
    </row>
    <row r="319" spans="1:8">
      <c r="A319" s="1">
        <v>40513</v>
      </c>
      <c r="B319" s="2" t="s">
        <v>31</v>
      </c>
      <c r="C319">
        <v>3322.12</v>
      </c>
      <c r="D319">
        <v>4</v>
      </c>
      <c r="E319">
        <v>1</v>
      </c>
      <c r="F319">
        <v>1304</v>
      </c>
      <c r="G319">
        <f>YEAR(tbl_kpi_country[[#This Row],[InvoiceMonth]])*100 + MONTH(tbl_kpi_country[[#This Row],[InvoiceMonth]])</f>
        <v>201012</v>
      </c>
      <c r="H319">
        <v>830.53</v>
      </c>
    </row>
    <row r="320" spans="1:8">
      <c r="A320" s="1">
        <v>40210</v>
      </c>
      <c r="B320" s="2" t="s">
        <v>32</v>
      </c>
      <c r="C320">
        <v>1636.38</v>
      </c>
      <c r="D320">
        <v>2</v>
      </c>
      <c r="E320">
        <v>1</v>
      </c>
      <c r="F320">
        <v>606</v>
      </c>
      <c r="G320">
        <f>YEAR(tbl_kpi_country[[#This Row],[InvoiceMonth]])*100 + MONTH(tbl_kpi_country[[#This Row],[InvoiceMonth]])</f>
        <v>201002</v>
      </c>
      <c r="H320">
        <v>818.19</v>
      </c>
    </row>
    <row r="321" spans="1:8">
      <c r="A321" s="1">
        <v>40391</v>
      </c>
      <c r="B321" s="2" t="s">
        <v>32</v>
      </c>
      <c r="C321">
        <v>3737.12</v>
      </c>
      <c r="D321">
        <v>2</v>
      </c>
      <c r="E321">
        <v>1</v>
      </c>
      <c r="F321">
        <v>943</v>
      </c>
      <c r="G321">
        <f>YEAR(tbl_kpi_country[[#This Row],[InvoiceMonth]])*100 + MONTH(tbl_kpi_country[[#This Row],[InvoiceMonth]])</f>
        <v>201008</v>
      </c>
      <c r="H321">
        <v>1868.56</v>
      </c>
    </row>
    <row r="322" spans="1:8">
      <c r="A322" s="1">
        <v>40695</v>
      </c>
      <c r="B322" s="2" t="s">
        <v>32</v>
      </c>
      <c r="C322">
        <v>863.16</v>
      </c>
      <c r="D322">
        <v>2</v>
      </c>
      <c r="E322">
        <v>1</v>
      </c>
      <c r="F322">
        <v>402</v>
      </c>
      <c r="G322">
        <f>YEAR(tbl_kpi_country[[#This Row],[InvoiceMonth]])*100 + MONTH(tbl_kpi_country[[#This Row],[InvoiceMonth]])</f>
        <v>201106</v>
      </c>
      <c r="H322">
        <v>431.58</v>
      </c>
    </row>
    <row r="323" spans="1:8">
      <c r="A323" s="1">
        <v>40756</v>
      </c>
      <c r="B323" s="2" t="s">
        <v>32</v>
      </c>
      <c r="C323">
        <v>1119</v>
      </c>
      <c r="D323">
        <v>2</v>
      </c>
      <c r="E323">
        <v>2</v>
      </c>
      <c r="F323">
        <v>382</v>
      </c>
      <c r="G323">
        <f>YEAR(tbl_kpi_country[[#This Row],[InvoiceMonth]])*100 + MONTH(tbl_kpi_country[[#This Row],[InvoiceMonth]])</f>
        <v>201108</v>
      </c>
      <c r="H323">
        <v>559.5</v>
      </c>
    </row>
    <row r="324" spans="1:8">
      <c r="A324" s="1">
        <v>40848</v>
      </c>
      <c r="B324" s="2" t="s">
        <v>32</v>
      </c>
      <c r="C324">
        <v>743.43</v>
      </c>
      <c r="D324">
        <v>1</v>
      </c>
      <c r="E324">
        <v>1</v>
      </c>
      <c r="F324">
        <v>186</v>
      </c>
      <c r="G324">
        <f>YEAR(tbl_kpi_country[[#This Row],[InvoiceMonth]])*100 + MONTH(tbl_kpi_country[[#This Row],[InvoiceMonth]])</f>
        <v>201111</v>
      </c>
      <c r="H324">
        <v>743.43</v>
      </c>
    </row>
    <row r="325" spans="1:8">
      <c r="A325" s="1">
        <v>40148</v>
      </c>
      <c r="B325" s="2" t="s">
        <v>33</v>
      </c>
      <c r="C325">
        <v>15204.73</v>
      </c>
      <c r="D325">
        <v>6</v>
      </c>
      <c r="E325">
        <v>2</v>
      </c>
      <c r="F325">
        <v>10822</v>
      </c>
      <c r="G325">
        <f>YEAR(tbl_kpi_country[[#This Row],[InvoiceMonth]])*100 + MONTH(tbl_kpi_country[[#This Row],[InvoiceMonth]])</f>
        <v>200912</v>
      </c>
      <c r="H325">
        <v>2534.1216666666664</v>
      </c>
    </row>
    <row r="326" spans="1:8">
      <c r="A326" s="1">
        <v>40179</v>
      </c>
      <c r="B326" s="2" t="s">
        <v>33</v>
      </c>
      <c r="C326">
        <v>29230.77</v>
      </c>
      <c r="D326">
        <v>6</v>
      </c>
      <c r="E326">
        <v>3</v>
      </c>
      <c r="F326">
        <v>20531</v>
      </c>
      <c r="G326">
        <f>YEAR(tbl_kpi_country[[#This Row],[InvoiceMonth]])*100 + MONTH(tbl_kpi_country[[#This Row],[InvoiceMonth]])</f>
        <v>201001</v>
      </c>
      <c r="H326">
        <v>4871.7950000000001</v>
      </c>
    </row>
    <row r="327" spans="1:8">
      <c r="A327" s="1">
        <v>40210</v>
      </c>
      <c r="B327" s="2" t="s">
        <v>33</v>
      </c>
      <c r="C327">
        <v>17255.39</v>
      </c>
      <c r="D327">
        <v>8</v>
      </c>
      <c r="E327">
        <v>2</v>
      </c>
      <c r="F327">
        <v>9883</v>
      </c>
      <c r="G327">
        <f>YEAR(tbl_kpi_country[[#This Row],[InvoiceMonth]])*100 + MONTH(tbl_kpi_country[[#This Row],[InvoiceMonth]])</f>
        <v>201002</v>
      </c>
      <c r="H327">
        <v>2156.9237499999999</v>
      </c>
    </row>
    <row r="328" spans="1:8">
      <c r="A328" s="1">
        <v>40238</v>
      </c>
      <c r="B328" s="2" t="s">
        <v>33</v>
      </c>
      <c r="C328">
        <v>24447.98</v>
      </c>
      <c r="D328">
        <v>15</v>
      </c>
      <c r="E328">
        <v>4</v>
      </c>
      <c r="F328">
        <v>16662</v>
      </c>
      <c r="G328">
        <f>YEAR(tbl_kpi_country[[#This Row],[InvoiceMonth]])*100 + MONTH(tbl_kpi_country[[#This Row],[InvoiceMonth]])</f>
        <v>201003</v>
      </c>
      <c r="H328">
        <v>1629.8653333333334</v>
      </c>
    </row>
    <row r="329" spans="1:8">
      <c r="A329" s="1">
        <v>40269</v>
      </c>
      <c r="B329" s="2" t="s">
        <v>33</v>
      </c>
      <c r="C329">
        <v>6888.78</v>
      </c>
      <c r="D329">
        <v>10</v>
      </c>
      <c r="E329">
        <v>8</v>
      </c>
      <c r="F329">
        <v>4944</v>
      </c>
      <c r="G329">
        <f>YEAR(tbl_kpi_country[[#This Row],[InvoiceMonth]])*100 + MONTH(tbl_kpi_country[[#This Row],[InvoiceMonth]])</f>
        <v>201004</v>
      </c>
      <c r="H329">
        <v>688.87799999999993</v>
      </c>
    </row>
    <row r="330" spans="1:8">
      <c r="A330" s="1">
        <v>40299</v>
      </c>
      <c r="B330" s="2" t="s">
        <v>33</v>
      </c>
      <c r="C330">
        <v>22416.53</v>
      </c>
      <c r="D330">
        <v>8</v>
      </c>
      <c r="E330">
        <v>6</v>
      </c>
      <c r="F330">
        <v>14910</v>
      </c>
      <c r="G330">
        <f>YEAR(tbl_kpi_country[[#This Row],[InvoiceMonth]])*100 + MONTH(tbl_kpi_country[[#This Row],[InvoiceMonth]])</f>
        <v>201005</v>
      </c>
      <c r="H330">
        <v>2802.0662499999999</v>
      </c>
    </row>
    <row r="331" spans="1:8">
      <c r="A331" s="1">
        <v>40330</v>
      </c>
      <c r="B331" s="2" t="s">
        <v>33</v>
      </c>
      <c r="C331">
        <v>24224.51</v>
      </c>
      <c r="D331">
        <v>8</v>
      </c>
      <c r="E331">
        <v>4</v>
      </c>
      <c r="F331">
        <v>15761</v>
      </c>
      <c r="G331">
        <f>YEAR(tbl_kpi_country[[#This Row],[InvoiceMonth]])*100 + MONTH(tbl_kpi_country[[#This Row],[InvoiceMonth]])</f>
        <v>201006</v>
      </c>
      <c r="H331">
        <v>3028.0637499999998</v>
      </c>
    </row>
    <row r="332" spans="1:8">
      <c r="A332" s="1">
        <v>40360</v>
      </c>
      <c r="B332" s="2" t="s">
        <v>33</v>
      </c>
      <c r="C332">
        <v>5532.64</v>
      </c>
      <c r="D332">
        <v>10</v>
      </c>
      <c r="E332">
        <v>8</v>
      </c>
      <c r="F332">
        <v>3409</v>
      </c>
      <c r="G332">
        <f>YEAR(tbl_kpi_country[[#This Row],[InvoiceMonth]])*100 + MONTH(tbl_kpi_country[[#This Row],[InvoiceMonth]])</f>
        <v>201007</v>
      </c>
      <c r="H332">
        <v>553.26400000000001</v>
      </c>
    </row>
    <row r="333" spans="1:8">
      <c r="A333" s="1">
        <v>40391</v>
      </c>
      <c r="B333" s="2" t="s">
        <v>33</v>
      </c>
      <c r="C333">
        <v>25028.69</v>
      </c>
      <c r="D333">
        <v>10</v>
      </c>
      <c r="E333">
        <v>5</v>
      </c>
      <c r="F333">
        <v>17667</v>
      </c>
      <c r="G333">
        <f>YEAR(tbl_kpi_country[[#This Row],[InvoiceMonth]])*100 + MONTH(tbl_kpi_country[[#This Row],[InvoiceMonth]])</f>
        <v>201008</v>
      </c>
      <c r="H333">
        <v>2502.8689999999997</v>
      </c>
    </row>
    <row r="334" spans="1:8">
      <c r="A334" s="1">
        <v>40422</v>
      </c>
      <c r="B334" s="2" t="s">
        <v>33</v>
      </c>
      <c r="C334">
        <v>45037.14</v>
      </c>
      <c r="D334">
        <v>19</v>
      </c>
      <c r="E334">
        <v>8</v>
      </c>
      <c r="F334">
        <v>29199</v>
      </c>
      <c r="G334">
        <f>YEAR(tbl_kpi_country[[#This Row],[InvoiceMonth]])*100 + MONTH(tbl_kpi_country[[#This Row],[InvoiceMonth]])</f>
        <v>201009</v>
      </c>
      <c r="H334">
        <v>2370.3757894736841</v>
      </c>
    </row>
    <row r="335" spans="1:8">
      <c r="A335" s="1">
        <v>40452</v>
      </c>
      <c r="B335" s="2" t="s">
        <v>33</v>
      </c>
      <c r="C335">
        <v>17265.849999999999</v>
      </c>
      <c r="D335">
        <v>12</v>
      </c>
      <c r="E335">
        <v>4</v>
      </c>
      <c r="F335">
        <v>17628</v>
      </c>
      <c r="G335">
        <f>YEAR(tbl_kpi_country[[#This Row],[InvoiceMonth]])*100 + MONTH(tbl_kpi_country[[#This Row],[InvoiceMonth]])</f>
        <v>201010</v>
      </c>
      <c r="H335">
        <v>1438.8208333333332</v>
      </c>
    </row>
    <row r="336" spans="1:8">
      <c r="A336" s="1">
        <v>40483</v>
      </c>
      <c r="B336" s="2" t="s">
        <v>33</v>
      </c>
      <c r="C336">
        <v>36058.74</v>
      </c>
      <c r="D336">
        <v>22</v>
      </c>
      <c r="E336">
        <v>7</v>
      </c>
      <c r="F336">
        <v>22102</v>
      </c>
      <c r="G336">
        <f>YEAR(tbl_kpi_country[[#This Row],[InvoiceMonth]])*100 + MONTH(tbl_kpi_country[[#This Row],[InvoiceMonth]])</f>
        <v>201011</v>
      </c>
      <c r="H336">
        <v>1639.0336363636363</v>
      </c>
    </row>
    <row r="337" spans="1:8">
      <c r="A337" s="1">
        <v>40513</v>
      </c>
      <c r="B337" s="2" t="s">
        <v>33</v>
      </c>
      <c r="C337">
        <v>8977.08</v>
      </c>
      <c r="D337">
        <v>3</v>
      </c>
      <c r="E337">
        <v>2</v>
      </c>
      <c r="F337">
        <v>6908</v>
      </c>
      <c r="G337">
        <f>YEAR(tbl_kpi_country[[#This Row],[InvoiceMonth]])*100 + MONTH(tbl_kpi_country[[#This Row],[InvoiceMonth]])</f>
        <v>201012</v>
      </c>
      <c r="H337">
        <v>2992.36</v>
      </c>
    </row>
    <row r="338" spans="1:8">
      <c r="A338" s="1">
        <v>40544</v>
      </c>
      <c r="B338" s="2" t="s">
        <v>33</v>
      </c>
      <c r="C338">
        <v>26611.16</v>
      </c>
      <c r="D338">
        <v>5</v>
      </c>
      <c r="E338">
        <v>2</v>
      </c>
      <c r="F338">
        <v>20417</v>
      </c>
      <c r="G338">
        <f>YEAR(tbl_kpi_country[[#This Row],[InvoiceMonth]])*100 + MONTH(tbl_kpi_country[[#This Row],[InvoiceMonth]])</f>
        <v>201101</v>
      </c>
      <c r="H338">
        <v>5322.232</v>
      </c>
    </row>
    <row r="339" spans="1:8">
      <c r="A339" s="1">
        <v>40575</v>
      </c>
      <c r="B339" s="2" t="s">
        <v>33</v>
      </c>
      <c r="C339">
        <v>23011.91</v>
      </c>
      <c r="D339">
        <v>5</v>
      </c>
      <c r="E339">
        <v>2</v>
      </c>
      <c r="F339">
        <v>16387</v>
      </c>
      <c r="G339">
        <f>YEAR(tbl_kpi_country[[#This Row],[InvoiceMonth]])*100 + MONTH(tbl_kpi_country[[#This Row],[InvoiceMonth]])</f>
        <v>201102</v>
      </c>
      <c r="H339">
        <v>4602.3819999999996</v>
      </c>
    </row>
    <row r="340" spans="1:8">
      <c r="A340" s="1">
        <v>40603</v>
      </c>
      <c r="B340" s="2" t="s">
        <v>33</v>
      </c>
      <c r="C340">
        <v>22416.489999999998</v>
      </c>
      <c r="D340">
        <v>8</v>
      </c>
      <c r="E340">
        <v>4</v>
      </c>
      <c r="F340">
        <v>14828</v>
      </c>
      <c r="G340">
        <f>YEAR(tbl_kpi_country[[#This Row],[InvoiceMonth]])*100 + MONTH(tbl_kpi_country[[#This Row],[InvoiceMonth]])</f>
        <v>201103</v>
      </c>
      <c r="H340">
        <v>2802.0612499999997</v>
      </c>
    </row>
    <row r="341" spans="1:8">
      <c r="A341" s="1">
        <v>40634</v>
      </c>
      <c r="B341" s="2" t="s">
        <v>33</v>
      </c>
      <c r="C341">
        <v>2976.56</v>
      </c>
      <c r="D341">
        <v>3</v>
      </c>
      <c r="E341">
        <v>1</v>
      </c>
      <c r="F341">
        <v>1768</v>
      </c>
      <c r="G341">
        <f>YEAR(tbl_kpi_country[[#This Row],[InvoiceMonth]])*100 + MONTH(tbl_kpi_country[[#This Row],[InvoiceMonth]])</f>
        <v>201104</v>
      </c>
      <c r="H341">
        <v>992.18666666666661</v>
      </c>
    </row>
    <row r="342" spans="1:8">
      <c r="A342" s="1">
        <v>40664</v>
      </c>
      <c r="B342" s="2" t="s">
        <v>33</v>
      </c>
      <c r="C342">
        <v>29185.88</v>
      </c>
      <c r="D342">
        <v>11</v>
      </c>
      <c r="E342">
        <v>4</v>
      </c>
      <c r="F342">
        <v>19936</v>
      </c>
      <c r="G342">
        <f>YEAR(tbl_kpi_country[[#This Row],[InvoiceMonth]])*100 + MONTH(tbl_kpi_country[[#This Row],[InvoiceMonth]])</f>
        <v>201105</v>
      </c>
      <c r="H342">
        <v>2653.2618181818184</v>
      </c>
    </row>
    <row r="343" spans="1:8">
      <c r="A343" s="1">
        <v>40695</v>
      </c>
      <c r="B343" s="2" t="s">
        <v>33</v>
      </c>
      <c r="C343">
        <v>26858.09</v>
      </c>
      <c r="D343">
        <v>11</v>
      </c>
      <c r="E343">
        <v>5</v>
      </c>
      <c r="F343">
        <v>19744</v>
      </c>
      <c r="G343">
        <f>YEAR(tbl_kpi_country[[#This Row],[InvoiceMonth]])*100 + MONTH(tbl_kpi_country[[#This Row],[InvoiceMonth]])</f>
        <v>201106</v>
      </c>
      <c r="H343">
        <v>2441.6445454545456</v>
      </c>
    </row>
    <row r="344" spans="1:8">
      <c r="A344" s="1">
        <v>40725</v>
      </c>
      <c r="B344" s="2" t="s">
        <v>33</v>
      </c>
      <c r="C344">
        <v>26.02</v>
      </c>
      <c r="D344">
        <v>1</v>
      </c>
      <c r="E344">
        <v>1</v>
      </c>
      <c r="F344">
        <v>10</v>
      </c>
      <c r="G344">
        <f>YEAR(tbl_kpi_country[[#This Row],[InvoiceMonth]])*100 + MONTH(tbl_kpi_country[[#This Row],[InvoiceMonth]])</f>
        <v>201107</v>
      </c>
      <c r="H344">
        <v>26.02</v>
      </c>
    </row>
    <row r="345" spans="1:8">
      <c r="A345" s="1">
        <v>40756</v>
      </c>
      <c r="B345" s="2" t="s">
        <v>33</v>
      </c>
      <c r="C345">
        <v>40327.81</v>
      </c>
      <c r="D345">
        <v>7</v>
      </c>
      <c r="E345">
        <v>1</v>
      </c>
      <c r="F345">
        <v>29300</v>
      </c>
      <c r="G345">
        <f>YEAR(tbl_kpi_country[[#This Row],[InvoiceMonth]])*100 + MONTH(tbl_kpi_country[[#This Row],[InvoiceMonth]])</f>
        <v>201108</v>
      </c>
      <c r="H345">
        <v>5761.1157142857137</v>
      </c>
    </row>
    <row r="346" spans="1:8">
      <c r="A346" s="1">
        <v>40787</v>
      </c>
      <c r="B346" s="2" t="s">
        <v>33</v>
      </c>
      <c r="C346">
        <v>26937.26</v>
      </c>
      <c r="D346">
        <v>7</v>
      </c>
      <c r="E346">
        <v>2</v>
      </c>
      <c r="F346">
        <v>17309</v>
      </c>
      <c r="G346">
        <f>YEAR(tbl_kpi_country[[#This Row],[InvoiceMonth]])*100 + MONTH(tbl_kpi_country[[#This Row],[InvoiceMonth]])</f>
        <v>201109</v>
      </c>
      <c r="H346">
        <v>3848.18</v>
      </c>
    </row>
    <row r="347" spans="1:8">
      <c r="A347" s="1">
        <v>40817</v>
      </c>
      <c r="B347" s="2" t="s">
        <v>33</v>
      </c>
      <c r="C347">
        <v>40708.65</v>
      </c>
      <c r="D347">
        <v>15</v>
      </c>
      <c r="E347">
        <v>4</v>
      </c>
      <c r="F347">
        <v>27230</v>
      </c>
      <c r="G347">
        <f>YEAR(tbl_kpi_country[[#This Row],[InvoiceMonth]])*100 + MONTH(tbl_kpi_country[[#This Row],[InvoiceMonth]])</f>
        <v>201110</v>
      </c>
      <c r="H347">
        <v>2713.9100000000003</v>
      </c>
    </row>
    <row r="348" spans="1:8">
      <c r="A348" s="1">
        <v>40848</v>
      </c>
      <c r="B348" s="2" t="s">
        <v>33</v>
      </c>
      <c r="C348">
        <v>25874.01</v>
      </c>
      <c r="D348">
        <v>15</v>
      </c>
      <c r="E348">
        <v>4</v>
      </c>
      <c r="F348">
        <v>18663</v>
      </c>
      <c r="G348">
        <f>YEAR(tbl_kpi_country[[#This Row],[InvoiceMonth]])*100 + MONTH(tbl_kpi_country[[#This Row],[InvoiceMonth]])</f>
        <v>201111</v>
      </c>
      <c r="H348">
        <v>1724.934</v>
      </c>
    </row>
    <row r="349" spans="1:8">
      <c r="A349" s="1">
        <v>40878</v>
      </c>
      <c r="B349" s="2" t="s">
        <v>33</v>
      </c>
      <c r="C349">
        <v>11728.02</v>
      </c>
      <c r="D349">
        <v>3</v>
      </c>
      <c r="E349">
        <v>1</v>
      </c>
      <c r="F349">
        <v>7958</v>
      </c>
      <c r="G349">
        <f>YEAR(tbl_kpi_country[[#This Row],[InvoiceMonth]])*100 + MONTH(tbl_kpi_country[[#This Row],[InvoiceMonth]])</f>
        <v>201112</v>
      </c>
      <c r="H349">
        <v>3909.34</v>
      </c>
    </row>
    <row r="350" spans="1:8">
      <c r="A350" s="1">
        <v>40179</v>
      </c>
      <c r="B350" s="2" t="s">
        <v>34</v>
      </c>
      <c r="C350">
        <v>27.82</v>
      </c>
      <c r="D350">
        <v>1</v>
      </c>
      <c r="E350">
        <v>1</v>
      </c>
      <c r="F350">
        <v>1</v>
      </c>
      <c r="G350">
        <f>YEAR(tbl_kpi_country[[#This Row],[InvoiceMonth]])*100 + MONTH(tbl_kpi_country[[#This Row],[InvoiceMonth]])</f>
        <v>201001</v>
      </c>
      <c r="H350">
        <v>27.82</v>
      </c>
    </row>
    <row r="351" spans="1:8">
      <c r="A351" s="1">
        <v>40391</v>
      </c>
      <c r="B351" s="2" t="s">
        <v>34</v>
      </c>
      <c r="C351">
        <v>112.57000000000001</v>
      </c>
      <c r="D351">
        <v>1</v>
      </c>
      <c r="E351">
        <v>1</v>
      </c>
      <c r="F351">
        <v>102</v>
      </c>
      <c r="G351">
        <f>YEAR(tbl_kpi_country[[#This Row],[InvoiceMonth]])*100 + MONTH(tbl_kpi_country[[#This Row],[InvoiceMonth]])</f>
        <v>201008</v>
      </c>
      <c r="H351">
        <v>112.57000000000001</v>
      </c>
    </row>
    <row r="352" spans="1:8">
      <c r="A352" s="1">
        <v>40148</v>
      </c>
      <c r="B352" s="2" t="s">
        <v>35</v>
      </c>
      <c r="C352">
        <v>485.31</v>
      </c>
      <c r="D352">
        <v>1</v>
      </c>
      <c r="E352">
        <v>1</v>
      </c>
      <c r="F352">
        <v>182</v>
      </c>
      <c r="G352">
        <f>YEAR(tbl_kpi_country[[#This Row],[InvoiceMonth]])*100 + MONTH(tbl_kpi_country[[#This Row],[InvoiceMonth]])</f>
        <v>200912</v>
      </c>
      <c r="H352">
        <v>485.31</v>
      </c>
    </row>
    <row r="353" spans="1:8">
      <c r="A353" s="1">
        <v>40238</v>
      </c>
      <c r="B353" s="2" t="s">
        <v>35</v>
      </c>
      <c r="C353">
        <v>13916.34</v>
      </c>
      <c r="D353">
        <v>2</v>
      </c>
      <c r="E353">
        <v>1</v>
      </c>
      <c r="F353">
        <v>2</v>
      </c>
      <c r="G353">
        <f>YEAR(tbl_kpi_country[[#This Row],[InvoiceMonth]])*100 + MONTH(tbl_kpi_country[[#This Row],[InvoiceMonth]])</f>
        <v>201003</v>
      </c>
      <c r="H353">
        <v>6958.17</v>
      </c>
    </row>
    <row r="354" spans="1:8">
      <c r="A354" s="1">
        <v>40391</v>
      </c>
      <c r="B354" s="2" t="s">
        <v>35</v>
      </c>
      <c r="C354">
        <v>152.4</v>
      </c>
      <c r="D354">
        <v>1</v>
      </c>
      <c r="E354">
        <v>1</v>
      </c>
      <c r="F354">
        <v>508</v>
      </c>
      <c r="G354">
        <f>YEAR(tbl_kpi_country[[#This Row],[InvoiceMonth]])*100 + MONTH(tbl_kpi_country[[#This Row],[InvoiceMonth]])</f>
        <v>201008</v>
      </c>
      <c r="H354">
        <v>152.4</v>
      </c>
    </row>
    <row r="355" spans="1:8">
      <c r="A355" s="1">
        <v>40422</v>
      </c>
      <c r="B355" s="2" t="s">
        <v>35</v>
      </c>
      <c r="C355">
        <v>973.69</v>
      </c>
      <c r="D355">
        <v>1</v>
      </c>
      <c r="E355">
        <v>1</v>
      </c>
      <c r="F355">
        <v>619</v>
      </c>
      <c r="G355">
        <f>YEAR(tbl_kpi_country[[#This Row],[InvoiceMonth]])*100 + MONTH(tbl_kpi_country[[#This Row],[InvoiceMonth]])</f>
        <v>201009</v>
      </c>
      <c r="H355">
        <v>973.69</v>
      </c>
    </row>
    <row r="356" spans="1:8">
      <c r="A356" s="1">
        <v>40483</v>
      </c>
      <c r="B356" s="2" t="s">
        <v>35</v>
      </c>
      <c r="C356">
        <v>4629.32</v>
      </c>
      <c r="D356">
        <v>4</v>
      </c>
      <c r="E356">
        <v>3</v>
      </c>
      <c r="F356">
        <v>2974</v>
      </c>
      <c r="G356">
        <f>YEAR(tbl_kpi_country[[#This Row],[InvoiceMonth]])*100 + MONTH(tbl_kpi_country[[#This Row],[InvoiceMonth]])</f>
        <v>201011</v>
      </c>
      <c r="H356">
        <v>1157.33</v>
      </c>
    </row>
    <row r="357" spans="1:8">
      <c r="A357" s="1">
        <v>40513</v>
      </c>
      <c r="B357" s="2" t="s">
        <v>35</v>
      </c>
      <c r="C357">
        <v>7574.24</v>
      </c>
      <c r="D357">
        <v>2</v>
      </c>
      <c r="E357">
        <v>1</v>
      </c>
      <c r="F357">
        <v>7164</v>
      </c>
      <c r="G357">
        <f>YEAR(tbl_kpi_country[[#This Row],[InvoiceMonth]])*100 + MONTH(tbl_kpi_country[[#This Row],[InvoiceMonth]])</f>
        <v>201012</v>
      </c>
      <c r="H357">
        <v>3787.12</v>
      </c>
    </row>
    <row r="358" spans="1:8">
      <c r="A358" s="1">
        <v>40575</v>
      </c>
      <c r="B358" s="2" t="s">
        <v>35</v>
      </c>
      <c r="C358">
        <v>630.9</v>
      </c>
      <c r="D358">
        <v>2</v>
      </c>
      <c r="E358">
        <v>2</v>
      </c>
      <c r="F358">
        <v>295</v>
      </c>
      <c r="G358">
        <f>YEAR(tbl_kpi_country[[#This Row],[InvoiceMonth]])*100 + MONTH(tbl_kpi_country[[#This Row],[InvoiceMonth]])</f>
        <v>201102</v>
      </c>
      <c r="H358">
        <v>315.45</v>
      </c>
    </row>
    <row r="359" spans="1:8">
      <c r="A359" s="1">
        <v>40603</v>
      </c>
      <c r="B359" s="2" t="s">
        <v>35</v>
      </c>
      <c r="C359">
        <v>1265.31</v>
      </c>
      <c r="D359">
        <v>4</v>
      </c>
      <c r="E359">
        <v>1</v>
      </c>
      <c r="F359">
        <v>156</v>
      </c>
      <c r="G359">
        <f>YEAR(tbl_kpi_country[[#This Row],[InvoiceMonth]])*100 + MONTH(tbl_kpi_country[[#This Row],[InvoiceMonth]])</f>
        <v>201103</v>
      </c>
      <c r="H359">
        <v>316.32749999999999</v>
      </c>
    </row>
    <row r="360" spans="1:8">
      <c r="A360" s="1">
        <v>40695</v>
      </c>
      <c r="B360" s="2" t="s">
        <v>35</v>
      </c>
      <c r="C360">
        <v>5886.8600000000006</v>
      </c>
      <c r="D360">
        <v>4</v>
      </c>
      <c r="E360">
        <v>2</v>
      </c>
      <c r="F360">
        <v>2009</v>
      </c>
      <c r="G360">
        <f>YEAR(tbl_kpi_country[[#This Row],[InvoiceMonth]])*100 + MONTH(tbl_kpi_country[[#This Row],[InvoiceMonth]])</f>
        <v>201106</v>
      </c>
      <c r="H360">
        <v>1471.7150000000001</v>
      </c>
    </row>
    <row r="361" spans="1:8">
      <c r="A361" s="1">
        <v>40725</v>
      </c>
      <c r="B361" s="2" t="s">
        <v>35</v>
      </c>
      <c r="C361">
        <v>890.06999999999994</v>
      </c>
      <c r="D361">
        <v>1</v>
      </c>
      <c r="E361">
        <v>1</v>
      </c>
      <c r="F361">
        <v>586</v>
      </c>
      <c r="G361">
        <f>YEAR(tbl_kpi_country[[#This Row],[InvoiceMonth]])*100 + MONTH(tbl_kpi_country[[#This Row],[InvoiceMonth]])</f>
        <v>201107</v>
      </c>
      <c r="H361">
        <v>890.06999999999994</v>
      </c>
    </row>
    <row r="362" spans="1:8">
      <c r="A362" s="1">
        <v>40756</v>
      </c>
      <c r="B362" s="2" t="s">
        <v>35</v>
      </c>
      <c r="C362">
        <v>2025.81</v>
      </c>
      <c r="D362">
        <v>2</v>
      </c>
      <c r="E362">
        <v>2</v>
      </c>
      <c r="F362">
        <v>636</v>
      </c>
      <c r="G362">
        <f>YEAR(tbl_kpi_country[[#This Row],[InvoiceMonth]])*100 + MONTH(tbl_kpi_country[[#This Row],[InvoiceMonth]])</f>
        <v>201108</v>
      </c>
      <c r="H362">
        <v>1012.905</v>
      </c>
    </row>
    <row r="363" spans="1:8">
      <c r="A363" s="1">
        <v>40787</v>
      </c>
      <c r="B363" s="2" t="s">
        <v>35</v>
      </c>
      <c r="C363">
        <v>8678.94</v>
      </c>
      <c r="D363">
        <v>6</v>
      </c>
      <c r="E363">
        <v>5</v>
      </c>
      <c r="F363">
        <v>4655</v>
      </c>
      <c r="G363">
        <f>YEAR(tbl_kpi_country[[#This Row],[InvoiceMonth]])*100 + MONTH(tbl_kpi_country[[#This Row],[InvoiceMonth]])</f>
        <v>201109</v>
      </c>
      <c r="H363">
        <v>1446.49</v>
      </c>
    </row>
    <row r="364" spans="1:8">
      <c r="A364" s="1">
        <v>40817</v>
      </c>
      <c r="B364" s="2" t="s">
        <v>35</v>
      </c>
      <c r="C364">
        <v>3687.23</v>
      </c>
      <c r="D364">
        <v>7</v>
      </c>
      <c r="E364">
        <v>5</v>
      </c>
      <c r="F364">
        <v>1692</v>
      </c>
      <c r="G364">
        <f>YEAR(tbl_kpi_country[[#This Row],[InvoiceMonth]])*100 + MONTH(tbl_kpi_country[[#This Row],[InvoiceMonth]])</f>
        <v>201110</v>
      </c>
      <c r="H364">
        <v>526.74714285714288</v>
      </c>
    </row>
    <row r="365" spans="1:8">
      <c r="A365" s="1">
        <v>40848</v>
      </c>
      <c r="B365" s="2" t="s">
        <v>35</v>
      </c>
      <c r="C365">
        <v>6527.5</v>
      </c>
      <c r="D365">
        <v>5</v>
      </c>
      <c r="E365">
        <v>5</v>
      </c>
      <c r="F365">
        <v>3406</v>
      </c>
      <c r="G365">
        <f>YEAR(tbl_kpi_country[[#This Row],[InvoiceMonth]])*100 + MONTH(tbl_kpi_country[[#This Row],[InvoiceMonth]])</f>
        <v>201111</v>
      </c>
      <c r="H365">
        <v>1305.5</v>
      </c>
    </row>
    <row r="366" spans="1:8">
      <c r="A366" s="1">
        <v>40878</v>
      </c>
      <c r="B366" s="2" t="s">
        <v>35</v>
      </c>
      <c r="C366">
        <v>2785.7000000000003</v>
      </c>
      <c r="D366">
        <v>3</v>
      </c>
      <c r="E366">
        <v>2</v>
      </c>
      <c r="F366">
        <v>2319</v>
      </c>
      <c r="G366">
        <f>YEAR(tbl_kpi_country[[#This Row],[InvoiceMonth]])*100 + MONTH(tbl_kpi_country[[#This Row],[InvoiceMonth]])</f>
        <v>201112</v>
      </c>
      <c r="H366">
        <v>928.56666666666672</v>
      </c>
    </row>
    <row r="367" spans="1:8">
      <c r="A367" s="1">
        <v>40148</v>
      </c>
      <c r="B367" s="2" t="s">
        <v>36</v>
      </c>
      <c r="C367">
        <v>371.82</v>
      </c>
      <c r="D367">
        <v>1</v>
      </c>
      <c r="E367">
        <v>1</v>
      </c>
      <c r="F367">
        <v>266</v>
      </c>
      <c r="G367">
        <f>YEAR(tbl_kpi_country[[#This Row],[InvoiceMonth]])*100 + MONTH(tbl_kpi_country[[#This Row],[InvoiceMonth]])</f>
        <v>200912</v>
      </c>
      <c r="H367">
        <v>371.82</v>
      </c>
    </row>
    <row r="368" spans="1:8">
      <c r="A368" s="1">
        <v>40238</v>
      </c>
      <c r="B368" s="2" t="s">
        <v>36</v>
      </c>
      <c r="C368">
        <v>318.86</v>
      </c>
      <c r="D368">
        <v>1</v>
      </c>
      <c r="E368">
        <v>1</v>
      </c>
      <c r="F368">
        <v>194</v>
      </c>
      <c r="G368">
        <f>YEAR(tbl_kpi_country[[#This Row],[InvoiceMonth]])*100 + MONTH(tbl_kpi_country[[#This Row],[InvoiceMonth]])</f>
        <v>201003</v>
      </c>
      <c r="H368">
        <v>318.86</v>
      </c>
    </row>
    <row r="369" spans="1:8">
      <c r="A369" s="1">
        <v>40330</v>
      </c>
      <c r="B369" s="2" t="s">
        <v>36</v>
      </c>
      <c r="C369">
        <v>556.16</v>
      </c>
      <c r="D369">
        <v>1</v>
      </c>
      <c r="E369">
        <v>1</v>
      </c>
      <c r="F369">
        <v>282</v>
      </c>
      <c r="G369">
        <f>YEAR(tbl_kpi_country[[#This Row],[InvoiceMonth]])*100 + MONTH(tbl_kpi_country[[#This Row],[InvoiceMonth]])</f>
        <v>201006</v>
      </c>
      <c r="H369">
        <v>556.16</v>
      </c>
    </row>
    <row r="370" spans="1:8">
      <c r="A370" s="1">
        <v>40360</v>
      </c>
      <c r="B370" s="2" t="s">
        <v>36</v>
      </c>
      <c r="C370">
        <v>374.75</v>
      </c>
      <c r="D370">
        <v>1</v>
      </c>
      <c r="E370">
        <v>1</v>
      </c>
      <c r="F370">
        <v>143</v>
      </c>
      <c r="G370">
        <f>YEAR(tbl_kpi_country[[#This Row],[InvoiceMonth]])*100 + MONTH(tbl_kpi_country[[#This Row],[InvoiceMonth]])</f>
        <v>201007</v>
      </c>
      <c r="H370">
        <v>374.75</v>
      </c>
    </row>
    <row r="371" spans="1:8">
      <c r="A371" s="1">
        <v>40391</v>
      </c>
      <c r="B371" s="2" t="s">
        <v>36</v>
      </c>
      <c r="C371">
        <v>527.43999999999994</v>
      </c>
      <c r="D371">
        <v>1</v>
      </c>
      <c r="E371">
        <v>1</v>
      </c>
      <c r="F371">
        <v>320</v>
      </c>
      <c r="G371">
        <f>YEAR(tbl_kpi_country[[#This Row],[InvoiceMonth]])*100 + MONTH(tbl_kpi_country[[#This Row],[InvoiceMonth]])</f>
        <v>201008</v>
      </c>
      <c r="H371">
        <v>527.43999999999994</v>
      </c>
    </row>
    <row r="372" spans="1:8">
      <c r="A372" s="1">
        <v>40422</v>
      </c>
      <c r="B372" s="2" t="s">
        <v>36</v>
      </c>
      <c r="C372">
        <v>349.47</v>
      </c>
      <c r="D372">
        <v>2</v>
      </c>
      <c r="E372">
        <v>2</v>
      </c>
      <c r="F372">
        <v>231</v>
      </c>
      <c r="G372">
        <f>YEAR(tbl_kpi_country[[#This Row],[InvoiceMonth]])*100 + MONTH(tbl_kpi_country[[#This Row],[InvoiceMonth]])</f>
        <v>201009</v>
      </c>
      <c r="H372">
        <v>174.73500000000001</v>
      </c>
    </row>
    <row r="373" spans="1:8">
      <c r="A373" s="1">
        <v>40483</v>
      </c>
      <c r="B373" s="2" t="s">
        <v>36</v>
      </c>
      <c r="C373">
        <v>821.14</v>
      </c>
      <c r="D373">
        <v>2</v>
      </c>
      <c r="E373">
        <v>2</v>
      </c>
      <c r="F373">
        <v>568</v>
      </c>
      <c r="G373">
        <f>YEAR(tbl_kpi_country[[#This Row],[InvoiceMonth]])*100 + MONTH(tbl_kpi_country[[#This Row],[InvoiceMonth]])</f>
        <v>201011</v>
      </c>
      <c r="H373">
        <v>410.57</v>
      </c>
    </row>
    <row r="374" spans="1:8">
      <c r="A374" s="1">
        <v>40513</v>
      </c>
      <c r="B374" s="2" t="s">
        <v>36</v>
      </c>
      <c r="C374">
        <v>496.32</v>
      </c>
      <c r="D374">
        <v>1</v>
      </c>
      <c r="E374">
        <v>1</v>
      </c>
      <c r="F374">
        <v>280</v>
      </c>
      <c r="G374">
        <f>YEAR(tbl_kpi_country[[#This Row],[InvoiceMonth]])*100 + MONTH(tbl_kpi_country[[#This Row],[InvoiceMonth]])</f>
        <v>201012</v>
      </c>
      <c r="H374">
        <v>496.32</v>
      </c>
    </row>
    <row r="375" spans="1:8">
      <c r="A375" s="1">
        <v>40544</v>
      </c>
      <c r="B375" s="2" t="s">
        <v>36</v>
      </c>
      <c r="C375">
        <v>613.22</v>
      </c>
      <c r="D375">
        <v>1</v>
      </c>
      <c r="E375">
        <v>1</v>
      </c>
      <c r="F375">
        <v>288</v>
      </c>
      <c r="G375">
        <f>YEAR(tbl_kpi_country[[#This Row],[InvoiceMonth]])*100 + MONTH(tbl_kpi_country[[#This Row],[InvoiceMonth]])</f>
        <v>201101</v>
      </c>
      <c r="H375">
        <v>613.22</v>
      </c>
    </row>
    <row r="376" spans="1:8">
      <c r="A376" s="1">
        <v>40575</v>
      </c>
      <c r="B376" s="2" t="s">
        <v>36</v>
      </c>
      <c r="C376">
        <v>604.04999999999995</v>
      </c>
      <c r="D376">
        <v>2</v>
      </c>
      <c r="E376">
        <v>2</v>
      </c>
      <c r="F376">
        <v>297</v>
      </c>
      <c r="G376">
        <f>YEAR(tbl_kpi_country[[#This Row],[InvoiceMonth]])*100 + MONTH(tbl_kpi_country[[#This Row],[InvoiceMonth]])</f>
        <v>201102</v>
      </c>
      <c r="H376">
        <v>302.02499999999998</v>
      </c>
    </row>
    <row r="377" spans="1:8">
      <c r="A377" s="1">
        <v>40603</v>
      </c>
      <c r="B377" s="2" t="s">
        <v>36</v>
      </c>
      <c r="C377">
        <v>317.77999999999997</v>
      </c>
      <c r="D377">
        <v>1</v>
      </c>
      <c r="E377">
        <v>1</v>
      </c>
      <c r="F377">
        <v>162</v>
      </c>
      <c r="G377">
        <f>YEAR(tbl_kpi_country[[#This Row],[InvoiceMonth]])*100 + MONTH(tbl_kpi_country[[#This Row],[InvoiceMonth]])</f>
        <v>201103</v>
      </c>
      <c r="H377">
        <v>317.77999999999997</v>
      </c>
    </row>
    <row r="378" spans="1:8">
      <c r="A378" s="1">
        <v>40634</v>
      </c>
      <c r="B378" s="2" t="s">
        <v>36</v>
      </c>
      <c r="C378">
        <v>705.83999999999992</v>
      </c>
      <c r="D378">
        <v>1</v>
      </c>
      <c r="E378">
        <v>1</v>
      </c>
      <c r="F378">
        <v>432</v>
      </c>
      <c r="G378">
        <f>YEAR(tbl_kpi_country[[#This Row],[InvoiceMonth]])*100 + MONTH(tbl_kpi_country[[#This Row],[InvoiceMonth]])</f>
        <v>201104</v>
      </c>
      <c r="H378">
        <v>705.83999999999992</v>
      </c>
    </row>
    <row r="379" spans="1:8">
      <c r="A379" s="1">
        <v>40664</v>
      </c>
      <c r="B379" s="2" t="s">
        <v>36</v>
      </c>
      <c r="C379">
        <v>1522.37</v>
      </c>
      <c r="D379">
        <v>3</v>
      </c>
      <c r="E379">
        <v>3</v>
      </c>
      <c r="F379">
        <v>616</v>
      </c>
      <c r="G379">
        <f>YEAR(tbl_kpi_country[[#This Row],[InvoiceMonth]])*100 + MONTH(tbl_kpi_country[[#This Row],[InvoiceMonth]])</f>
        <v>201105</v>
      </c>
      <c r="H379">
        <v>507.45666666666665</v>
      </c>
    </row>
    <row r="380" spans="1:8">
      <c r="A380" s="1">
        <v>40695</v>
      </c>
      <c r="B380" s="2" t="s">
        <v>36</v>
      </c>
      <c r="C380">
        <v>343.65000000000003</v>
      </c>
      <c r="D380">
        <v>2</v>
      </c>
      <c r="E380">
        <v>2</v>
      </c>
      <c r="F380">
        <v>81</v>
      </c>
      <c r="G380">
        <f>YEAR(tbl_kpi_country[[#This Row],[InvoiceMonth]])*100 + MONTH(tbl_kpi_country[[#This Row],[InvoiceMonth]])</f>
        <v>201106</v>
      </c>
      <c r="H380">
        <v>171.82500000000002</v>
      </c>
    </row>
    <row r="381" spans="1:8">
      <c r="A381" s="1">
        <v>40725</v>
      </c>
      <c r="B381" s="2" t="s">
        <v>36</v>
      </c>
      <c r="C381">
        <v>687.3</v>
      </c>
      <c r="D381">
        <v>2</v>
      </c>
      <c r="E381">
        <v>2</v>
      </c>
      <c r="F381">
        <v>288</v>
      </c>
      <c r="G381">
        <f>YEAR(tbl_kpi_country[[#This Row],[InvoiceMonth]])*100 + MONTH(tbl_kpi_country[[#This Row],[InvoiceMonth]])</f>
        <v>201107</v>
      </c>
      <c r="H381">
        <v>343.65</v>
      </c>
    </row>
    <row r="382" spans="1:8">
      <c r="A382" s="1">
        <v>40756</v>
      </c>
      <c r="B382" s="2" t="s">
        <v>36</v>
      </c>
      <c r="C382">
        <v>401.8</v>
      </c>
      <c r="D382">
        <v>2</v>
      </c>
      <c r="E382">
        <v>2</v>
      </c>
      <c r="F382">
        <v>186</v>
      </c>
      <c r="G382">
        <f>YEAR(tbl_kpi_country[[#This Row],[InvoiceMonth]])*100 + MONTH(tbl_kpi_country[[#This Row],[InvoiceMonth]])</f>
        <v>201108</v>
      </c>
      <c r="H382">
        <v>200.9</v>
      </c>
    </row>
    <row r="383" spans="1:8">
      <c r="A383" s="1">
        <v>40787</v>
      </c>
      <c r="B383" s="2" t="s">
        <v>36</v>
      </c>
      <c r="C383">
        <v>529.25</v>
      </c>
      <c r="D383">
        <v>2</v>
      </c>
      <c r="E383">
        <v>2</v>
      </c>
      <c r="F383">
        <v>253</v>
      </c>
      <c r="G383">
        <f>YEAR(tbl_kpi_country[[#This Row],[InvoiceMonth]])*100 + MONTH(tbl_kpi_country[[#This Row],[InvoiceMonth]])</f>
        <v>201109</v>
      </c>
      <c r="H383">
        <v>264.625</v>
      </c>
    </row>
    <row r="384" spans="1:8">
      <c r="A384" s="1">
        <v>40848</v>
      </c>
      <c r="B384" s="2" t="s">
        <v>36</v>
      </c>
      <c r="C384">
        <v>1361.23</v>
      </c>
      <c r="D384">
        <v>2</v>
      </c>
      <c r="E384">
        <v>2</v>
      </c>
      <c r="F384">
        <v>941</v>
      </c>
      <c r="G384">
        <f>YEAR(tbl_kpi_country[[#This Row],[InvoiceMonth]])*100 + MONTH(tbl_kpi_country[[#This Row],[InvoiceMonth]])</f>
        <v>201111</v>
      </c>
      <c r="H384">
        <v>680.61500000000001</v>
      </c>
    </row>
    <row r="385" spans="1:8">
      <c r="A385" s="1">
        <v>40148</v>
      </c>
      <c r="B385" s="2" t="s">
        <v>37</v>
      </c>
      <c r="C385">
        <v>2821.58</v>
      </c>
      <c r="D385">
        <v>2</v>
      </c>
      <c r="E385">
        <v>2</v>
      </c>
      <c r="F385">
        <v>1575</v>
      </c>
      <c r="G385">
        <f>YEAR(tbl_kpi_country[[#This Row],[InvoiceMonth]])*100 + MONTH(tbl_kpi_country[[#This Row],[InvoiceMonth]])</f>
        <v>200912</v>
      </c>
      <c r="H385">
        <v>1410.79</v>
      </c>
    </row>
    <row r="386" spans="1:8">
      <c r="A386" s="1">
        <v>40179</v>
      </c>
      <c r="B386" s="2" t="s">
        <v>37</v>
      </c>
      <c r="C386">
        <v>117.72</v>
      </c>
      <c r="D386">
        <v>1</v>
      </c>
      <c r="E386">
        <v>1</v>
      </c>
      <c r="F386">
        <v>1</v>
      </c>
      <c r="G386">
        <f>YEAR(tbl_kpi_country[[#This Row],[InvoiceMonth]])*100 + MONTH(tbl_kpi_country[[#This Row],[InvoiceMonth]])</f>
        <v>201001</v>
      </c>
      <c r="H386">
        <v>117.72</v>
      </c>
    </row>
    <row r="387" spans="1:8">
      <c r="A387" s="1">
        <v>40210</v>
      </c>
      <c r="B387" s="2" t="s">
        <v>37</v>
      </c>
      <c r="C387">
        <v>458.83000000000004</v>
      </c>
      <c r="D387">
        <v>3</v>
      </c>
      <c r="E387">
        <v>2</v>
      </c>
      <c r="F387">
        <v>245</v>
      </c>
      <c r="G387">
        <f>YEAR(tbl_kpi_country[[#This Row],[InvoiceMonth]])*100 + MONTH(tbl_kpi_country[[#This Row],[InvoiceMonth]])</f>
        <v>201002</v>
      </c>
      <c r="H387">
        <v>152.94333333333336</v>
      </c>
    </row>
    <row r="388" spans="1:8">
      <c r="A388" s="1">
        <v>40238</v>
      </c>
      <c r="B388" s="2" t="s">
        <v>37</v>
      </c>
      <c r="C388">
        <v>2519.0500000000002</v>
      </c>
      <c r="D388">
        <v>2</v>
      </c>
      <c r="E388">
        <v>2</v>
      </c>
      <c r="F388">
        <v>1349</v>
      </c>
      <c r="G388">
        <f>YEAR(tbl_kpi_country[[#This Row],[InvoiceMonth]])*100 + MONTH(tbl_kpi_country[[#This Row],[InvoiceMonth]])</f>
        <v>201003</v>
      </c>
      <c r="H388">
        <v>1259.5250000000001</v>
      </c>
    </row>
    <row r="389" spans="1:8">
      <c r="A389" s="1">
        <v>40269</v>
      </c>
      <c r="B389" s="2" t="s">
        <v>37</v>
      </c>
      <c r="C389">
        <v>85.539999999999992</v>
      </c>
      <c r="D389">
        <v>1</v>
      </c>
      <c r="E389">
        <v>1</v>
      </c>
      <c r="F389">
        <v>46</v>
      </c>
      <c r="G389">
        <f>YEAR(tbl_kpi_country[[#This Row],[InvoiceMonth]])*100 + MONTH(tbl_kpi_country[[#This Row],[InvoiceMonth]])</f>
        <v>201004</v>
      </c>
      <c r="H389">
        <v>85.539999999999992</v>
      </c>
    </row>
    <row r="390" spans="1:8">
      <c r="A390" s="1">
        <v>40299</v>
      </c>
      <c r="B390" s="2" t="s">
        <v>37</v>
      </c>
      <c r="C390">
        <v>757.2</v>
      </c>
      <c r="D390">
        <v>2</v>
      </c>
      <c r="E390">
        <v>2</v>
      </c>
      <c r="F390">
        <v>216</v>
      </c>
      <c r="G390">
        <f>YEAR(tbl_kpi_country[[#This Row],[InvoiceMonth]])*100 + MONTH(tbl_kpi_country[[#This Row],[InvoiceMonth]])</f>
        <v>201005</v>
      </c>
      <c r="H390">
        <v>378.6</v>
      </c>
    </row>
    <row r="391" spans="1:8">
      <c r="A391" s="1">
        <v>40330</v>
      </c>
      <c r="B391" s="2" t="s">
        <v>37</v>
      </c>
      <c r="C391">
        <v>3668.46</v>
      </c>
      <c r="D391">
        <v>4</v>
      </c>
      <c r="E391">
        <v>4</v>
      </c>
      <c r="F391">
        <v>1632</v>
      </c>
      <c r="G391">
        <f>YEAR(tbl_kpi_country[[#This Row],[InvoiceMonth]])*100 + MONTH(tbl_kpi_country[[#This Row],[InvoiceMonth]])</f>
        <v>201006</v>
      </c>
      <c r="H391">
        <v>917.11500000000001</v>
      </c>
    </row>
    <row r="392" spans="1:8">
      <c r="A392" s="1">
        <v>40360</v>
      </c>
      <c r="B392" s="2" t="s">
        <v>37</v>
      </c>
      <c r="C392">
        <v>288.10000000000002</v>
      </c>
      <c r="D392">
        <v>1</v>
      </c>
      <c r="E392">
        <v>1</v>
      </c>
      <c r="F392">
        <v>72</v>
      </c>
      <c r="G392">
        <f>YEAR(tbl_kpi_country[[#This Row],[InvoiceMonth]])*100 + MONTH(tbl_kpi_country[[#This Row],[InvoiceMonth]])</f>
        <v>201007</v>
      </c>
      <c r="H392">
        <v>288.10000000000002</v>
      </c>
    </row>
    <row r="393" spans="1:8">
      <c r="A393" s="1">
        <v>40391</v>
      </c>
      <c r="B393" s="2" t="s">
        <v>37</v>
      </c>
      <c r="C393">
        <v>463.21999999999997</v>
      </c>
      <c r="D393">
        <v>2</v>
      </c>
      <c r="E393">
        <v>2</v>
      </c>
      <c r="F393">
        <v>189</v>
      </c>
      <c r="G393">
        <f>YEAR(tbl_kpi_country[[#This Row],[InvoiceMonth]])*100 + MONTH(tbl_kpi_country[[#This Row],[InvoiceMonth]])</f>
        <v>201008</v>
      </c>
      <c r="H393">
        <v>231.60999999999999</v>
      </c>
    </row>
    <row r="394" spans="1:8">
      <c r="A394" s="1">
        <v>40422</v>
      </c>
      <c r="B394" s="2" t="s">
        <v>37</v>
      </c>
      <c r="C394">
        <v>2964.58</v>
      </c>
      <c r="D394">
        <v>6</v>
      </c>
      <c r="E394">
        <v>4</v>
      </c>
      <c r="F394">
        <v>1795</v>
      </c>
      <c r="G394">
        <f>YEAR(tbl_kpi_country[[#This Row],[InvoiceMonth]])*100 + MONTH(tbl_kpi_country[[#This Row],[InvoiceMonth]])</f>
        <v>201009</v>
      </c>
      <c r="H394">
        <v>494.09666666666664</v>
      </c>
    </row>
    <row r="395" spans="1:8">
      <c r="A395" s="1">
        <v>40452</v>
      </c>
      <c r="B395" s="2" t="s">
        <v>37</v>
      </c>
      <c r="C395">
        <v>2978.23</v>
      </c>
      <c r="D395">
        <v>5</v>
      </c>
      <c r="E395">
        <v>5</v>
      </c>
      <c r="F395">
        <v>2224</v>
      </c>
      <c r="G395">
        <f>YEAR(tbl_kpi_country[[#This Row],[InvoiceMonth]])*100 + MONTH(tbl_kpi_country[[#This Row],[InvoiceMonth]])</f>
        <v>201010</v>
      </c>
      <c r="H395">
        <v>595.64599999999996</v>
      </c>
    </row>
    <row r="396" spans="1:8">
      <c r="A396" s="1">
        <v>40483</v>
      </c>
      <c r="B396" s="2" t="s">
        <v>37</v>
      </c>
      <c r="C396">
        <v>5056.43</v>
      </c>
      <c r="D396">
        <v>7</v>
      </c>
      <c r="E396">
        <v>5</v>
      </c>
      <c r="F396">
        <v>1984</v>
      </c>
      <c r="G396">
        <f>YEAR(tbl_kpi_country[[#This Row],[InvoiceMonth]])*100 + MONTH(tbl_kpi_country[[#This Row],[InvoiceMonth]])</f>
        <v>201011</v>
      </c>
      <c r="H396">
        <v>722.3471428571429</v>
      </c>
    </row>
    <row r="397" spans="1:8">
      <c r="A397" s="1">
        <v>40513</v>
      </c>
      <c r="B397" s="2" t="s">
        <v>37</v>
      </c>
      <c r="C397">
        <v>4104.49</v>
      </c>
      <c r="D397">
        <v>6</v>
      </c>
      <c r="E397">
        <v>6</v>
      </c>
      <c r="F397">
        <v>1644</v>
      </c>
      <c r="G397">
        <f>YEAR(tbl_kpi_country[[#This Row],[InvoiceMonth]])*100 + MONTH(tbl_kpi_country[[#This Row],[InvoiceMonth]])</f>
        <v>201012</v>
      </c>
      <c r="H397">
        <v>684.08166666666659</v>
      </c>
    </row>
    <row r="398" spans="1:8">
      <c r="A398" s="1">
        <v>40544</v>
      </c>
      <c r="B398" s="2" t="s">
        <v>37</v>
      </c>
      <c r="C398">
        <v>4055.71</v>
      </c>
      <c r="D398">
        <v>4</v>
      </c>
      <c r="E398">
        <v>4</v>
      </c>
      <c r="F398">
        <v>2094</v>
      </c>
      <c r="G398">
        <f>YEAR(tbl_kpi_country[[#This Row],[InvoiceMonth]])*100 + MONTH(tbl_kpi_country[[#This Row],[InvoiceMonth]])</f>
        <v>201101</v>
      </c>
      <c r="H398">
        <v>1013.9275</v>
      </c>
    </row>
    <row r="399" spans="1:8">
      <c r="A399" s="1">
        <v>40575</v>
      </c>
      <c r="B399" s="2" t="s">
        <v>37</v>
      </c>
      <c r="C399">
        <v>1213.9000000000001</v>
      </c>
      <c r="D399">
        <v>2</v>
      </c>
      <c r="E399">
        <v>2</v>
      </c>
      <c r="F399">
        <v>558</v>
      </c>
      <c r="G399">
        <f>YEAR(tbl_kpi_country[[#This Row],[InvoiceMonth]])*100 + MONTH(tbl_kpi_country[[#This Row],[InvoiceMonth]])</f>
        <v>201102</v>
      </c>
      <c r="H399">
        <v>606.95000000000005</v>
      </c>
    </row>
    <row r="400" spans="1:8">
      <c r="A400" s="1">
        <v>40603</v>
      </c>
      <c r="B400" s="2" t="s">
        <v>37</v>
      </c>
      <c r="C400">
        <v>2660.85</v>
      </c>
      <c r="D400">
        <v>5</v>
      </c>
      <c r="E400">
        <v>4</v>
      </c>
      <c r="F400">
        <v>1626</v>
      </c>
      <c r="G400">
        <f>YEAR(tbl_kpi_country[[#This Row],[InvoiceMonth]])*100 + MONTH(tbl_kpi_country[[#This Row],[InvoiceMonth]])</f>
        <v>201103</v>
      </c>
      <c r="H400">
        <v>532.16999999999996</v>
      </c>
    </row>
    <row r="401" spans="1:8">
      <c r="A401" s="1">
        <v>40634</v>
      </c>
      <c r="B401" s="2" t="s">
        <v>37</v>
      </c>
      <c r="C401">
        <v>1687.75</v>
      </c>
      <c r="D401">
        <v>2</v>
      </c>
      <c r="E401">
        <v>2</v>
      </c>
      <c r="F401">
        <v>951</v>
      </c>
      <c r="G401">
        <f>YEAR(tbl_kpi_country[[#This Row],[InvoiceMonth]])*100 + MONTH(tbl_kpi_country[[#This Row],[InvoiceMonth]])</f>
        <v>201104</v>
      </c>
      <c r="H401">
        <v>843.875</v>
      </c>
    </row>
    <row r="402" spans="1:8">
      <c r="A402" s="1">
        <v>40664</v>
      </c>
      <c r="B402" s="2" t="s">
        <v>37</v>
      </c>
      <c r="C402">
        <v>4202.2300000000005</v>
      </c>
      <c r="D402">
        <v>5</v>
      </c>
      <c r="E402">
        <v>1</v>
      </c>
      <c r="F402">
        <v>315</v>
      </c>
      <c r="G402">
        <f>YEAR(tbl_kpi_country[[#This Row],[InvoiceMonth]])*100 + MONTH(tbl_kpi_country[[#This Row],[InvoiceMonth]])</f>
        <v>201105</v>
      </c>
      <c r="H402">
        <v>840.44600000000014</v>
      </c>
    </row>
    <row r="403" spans="1:8">
      <c r="A403" s="1">
        <v>40695</v>
      </c>
      <c r="B403" s="2" t="s">
        <v>37</v>
      </c>
      <c r="C403">
        <v>884.46</v>
      </c>
      <c r="D403">
        <v>3</v>
      </c>
      <c r="E403">
        <v>3</v>
      </c>
      <c r="F403">
        <v>421</v>
      </c>
      <c r="G403">
        <f>YEAR(tbl_kpi_country[[#This Row],[InvoiceMonth]])*100 + MONTH(tbl_kpi_country[[#This Row],[InvoiceMonth]])</f>
        <v>201106</v>
      </c>
      <c r="H403">
        <v>294.82</v>
      </c>
    </row>
    <row r="404" spans="1:8">
      <c r="A404" s="1">
        <v>40725</v>
      </c>
      <c r="B404" s="2" t="s">
        <v>37</v>
      </c>
      <c r="C404">
        <v>2287.85</v>
      </c>
      <c r="D404">
        <v>3</v>
      </c>
      <c r="E404">
        <v>3</v>
      </c>
      <c r="F404">
        <v>1436</v>
      </c>
      <c r="G404">
        <f>YEAR(tbl_kpi_country[[#This Row],[InvoiceMonth]])*100 + MONTH(tbl_kpi_country[[#This Row],[InvoiceMonth]])</f>
        <v>201107</v>
      </c>
      <c r="H404">
        <v>762.61666666666667</v>
      </c>
    </row>
    <row r="405" spans="1:8">
      <c r="A405" s="1">
        <v>40756</v>
      </c>
      <c r="B405" s="2" t="s">
        <v>37</v>
      </c>
      <c r="C405">
        <v>1221.4000000000001</v>
      </c>
      <c r="D405">
        <v>1</v>
      </c>
      <c r="E405">
        <v>1</v>
      </c>
      <c r="F405">
        <v>1026</v>
      </c>
      <c r="G405">
        <f>YEAR(tbl_kpi_country[[#This Row],[InvoiceMonth]])*100 + MONTH(tbl_kpi_country[[#This Row],[InvoiceMonth]])</f>
        <v>201108</v>
      </c>
      <c r="H405">
        <v>1221.4000000000001</v>
      </c>
    </row>
    <row r="406" spans="1:8">
      <c r="A406" s="1">
        <v>40787</v>
      </c>
      <c r="B406" s="2" t="s">
        <v>37</v>
      </c>
      <c r="C406">
        <v>1433.22</v>
      </c>
      <c r="D406">
        <v>3</v>
      </c>
      <c r="E406">
        <v>3</v>
      </c>
      <c r="F406">
        <v>899</v>
      </c>
      <c r="G406">
        <f>YEAR(tbl_kpi_country[[#This Row],[InvoiceMonth]])*100 + MONTH(tbl_kpi_country[[#This Row],[InvoiceMonth]])</f>
        <v>201109</v>
      </c>
      <c r="H406">
        <v>477.74</v>
      </c>
    </row>
    <row r="407" spans="1:8">
      <c r="A407" s="1">
        <v>40817</v>
      </c>
      <c r="B407" s="2" t="s">
        <v>37</v>
      </c>
      <c r="C407">
        <v>5877.01</v>
      </c>
      <c r="D407">
        <v>9</v>
      </c>
      <c r="E407">
        <v>5</v>
      </c>
      <c r="F407">
        <v>3143</v>
      </c>
      <c r="G407">
        <f>YEAR(tbl_kpi_country[[#This Row],[InvoiceMonth]])*100 + MONTH(tbl_kpi_country[[#This Row],[InvoiceMonth]])</f>
        <v>201110</v>
      </c>
      <c r="H407">
        <v>653.00111111111119</v>
      </c>
    </row>
    <row r="408" spans="1:8">
      <c r="A408" s="1">
        <v>40848</v>
      </c>
      <c r="B408" s="2" t="s">
        <v>37</v>
      </c>
      <c r="C408">
        <v>2603.3000000000002</v>
      </c>
      <c r="D408">
        <v>10</v>
      </c>
      <c r="E408">
        <v>7</v>
      </c>
      <c r="F408">
        <v>1073</v>
      </c>
      <c r="G408">
        <f>YEAR(tbl_kpi_country[[#This Row],[InvoiceMonth]])*100 + MONTH(tbl_kpi_country[[#This Row],[InvoiceMonth]])</f>
        <v>201111</v>
      </c>
      <c r="H408">
        <v>260.33000000000004</v>
      </c>
    </row>
    <row r="409" spans="1:8">
      <c r="A409" s="1">
        <v>40878</v>
      </c>
      <c r="B409" s="2" t="s">
        <v>37</v>
      </c>
      <c r="C409">
        <v>2808.19</v>
      </c>
      <c r="D409">
        <v>4</v>
      </c>
      <c r="E409">
        <v>4</v>
      </c>
      <c r="F409">
        <v>1569</v>
      </c>
      <c r="G409">
        <f>YEAR(tbl_kpi_country[[#This Row],[InvoiceMonth]])*100 + MONTH(tbl_kpi_country[[#This Row],[InvoiceMonth]])</f>
        <v>201112</v>
      </c>
      <c r="H409">
        <v>702.04750000000001</v>
      </c>
    </row>
    <row r="410" spans="1:8">
      <c r="A410" s="1">
        <v>40210</v>
      </c>
      <c r="B410" s="2" t="s">
        <v>38</v>
      </c>
      <c r="C410">
        <v>931.43</v>
      </c>
      <c r="D410">
        <v>1</v>
      </c>
      <c r="E410">
        <v>1</v>
      </c>
      <c r="F410">
        <v>591</v>
      </c>
      <c r="G410">
        <f>YEAR(tbl_kpi_country[[#This Row],[InvoiceMonth]])*100 + MONTH(tbl_kpi_country[[#This Row],[InvoiceMonth]])</f>
        <v>201002</v>
      </c>
      <c r="H410">
        <v>931.43</v>
      </c>
    </row>
    <row r="411" spans="1:8">
      <c r="A411" s="1">
        <v>40817</v>
      </c>
      <c r="B411" s="2" t="s">
        <v>38</v>
      </c>
      <c r="C411">
        <v>1002.3100000000001</v>
      </c>
      <c r="D411">
        <v>1</v>
      </c>
      <c r="E411">
        <v>1</v>
      </c>
      <c r="F411">
        <v>351</v>
      </c>
      <c r="G411">
        <f>YEAR(tbl_kpi_country[[#This Row],[InvoiceMonth]])*100 + MONTH(tbl_kpi_country[[#This Row],[InvoiceMonth]])</f>
        <v>201110</v>
      </c>
      <c r="H411">
        <v>1002.3100000000001</v>
      </c>
    </row>
    <row r="412" spans="1:8">
      <c r="A412" s="1">
        <v>40575</v>
      </c>
      <c r="B412" s="2" t="s">
        <v>39</v>
      </c>
      <c r="C412">
        <v>145.91999999999999</v>
      </c>
      <c r="D412">
        <v>1</v>
      </c>
      <c r="E412">
        <v>1</v>
      </c>
      <c r="F412">
        <v>80</v>
      </c>
      <c r="G412">
        <f>YEAR(tbl_kpi_country[[#This Row],[InvoiceMonth]])*100 + MONTH(tbl_kpi_country[[#This Row],[InvoiceMonth]])</f>
        <v>201102</v>
      </c>
      <c r="H412">
        <v>145.91999999999999</v>
      </c>
    </row>
    <row r="413" spans="1:8">
      <c r="A413" s="1">
        <v>40269</v>
      </c>
      <c r="B413" s="2" t="s">
        <v>40</v>
      </c>
      <c r="C413">
        <v>1252.95</v>
      </c>
      <c r="D413">
        <v>1</v>
      </c>
      <c r="E413">
        <v>1</v>
      </c>
      <c r="F413">
        <v>509</v>
      </c>
      <c r="G413">
        <f>YEAR(tbl_kpi_country[[#This Row],[InvoiceMonth]])*100 + MONTH(tbl_kpi_country[[#This Row],[InvoiceMonth]])</f>
        <v>201004</v>
      </c>
      <c r="H413">
        <v>1252.95</v>
      </c>
    </row>
    <row r="414" spans="1:8">
      <c r="A414" s="1">
        <v>40422</v>
      </c>
      <c r="B414" s="2" t="s">
        <v>40</v>
      </c>
      <c r="C414">
        <v>2784.82</v>
      </c>
      <c r="D414">
        <v>3</v>
      </c>
      <c r="E414">
        <v>1</v>
      </c>
      <c r="F414">
        <v>1244</v>
      </c>
      <c r="G414">
        <f>YEAR(tbl_kpi_country[[#This Row],[InvoiceMonth]])*100 + MONTH(tbl_kpi_country[[#This Row],[InvoiceMonth]])</f>
        <v>201009</v>
      </c>
      <c r="H414">
        <v>928.27333333333343</v>
      </c>
    </row>
    <row r="415" spans="1:8">
      <c r="A415" s="1">
        <v>40544</v>
      </c>
      <c r="B415" s="2" t="s">
        <v>40</v>
      </c>
      <c r="C415">
        <v>2053.0700000000002</v>
      </c>
      <c r="D415">
        <v>1</v>
      </c>
      <c r="E415">
        <v>1</v>
      </c>
      <c r="F415">
        <v>1091</v>
      </c>
      <c r="G415">
        <f>YEAR(tbl_kpi_country[[#This Row],[InvoiceMonth]])*100 + MONTH(tbl_kpi_country[[#This Row],[InvoiceMonth]])</f>
        <v>201101</v>
      </c>
      <c r="H415">
        <v>2053.0700000000002</v>
      </c>
    </row>
    <row r="416" spans="1:8">
      <c r="A416" s="1">
        <v>40634</v>
      </c>
      <c r="B416" s="2" t="s">
        <v>40</v>
      </c>
      <c r="C416">
        <v>8209.58</v>
      </c>
      <c r="D416">
        <v>3</v>
      </c>
      <c r="E416">
        <v>1</v>
      </c>
      <c r="F416">
        <v>1389</v>
      </c>
      <c r="G416">
        <f>YEAR(tbl_kpi_country[[#This Row],[InvoiceMonth]])*100 + MONTH(tbl_kpi_country[[#This Row],[InvoiceMonth]])</f>
        <v>201104</v>
      </c>
      <c r="H416">
        <v>2736.5266666666666</v>
      </c>
    </row>
    <row r="417" spans="1:8">
      <c r="A417" s="1">
        <v>40725</v>
      </c>
      <c r="B417" s="2" t="s">
        <v>40</v>
      </c>
      <c r="C417">
        <v>3949.32</v>
      </c>
      <c r="D417">
        <v>1</v>
      </c>
      <c r="E417">
        <v>1</v>
      </c>
      <c r="F417">
        <v>2160</v>
      </c>
      <c r="G417">
        <f>YEAR(tbl_kpi_country[[#This Row],[InvoiceMonth]])*100 + MONTH(tbl_kpi_country[[#This Row],[InvoiceMonth]])</f>
        <v>201107</v>
      </c>
      <c r="H417">
        <v>3949.32</v>
      </c>
    </row>
    <row r="418" spans="1:8">
      <c r="A418" s="1">
        <v>40817</v>
      </c>
      <c r="B418" s="2" t="s">
        <v>40</v>
      </c>
      <c r="C418">
        <v>7067.32</v>
      </c>
      <c r="D418">
        <v>2</v>
      </c>
      <c r="E418">
        <v>1</v>
      </c>
      <c r="F418">
        <v>601</v>
      </c>
      <c r="G418">
        <f>YEAR(tbl_kpi_country[[#This Row],[InvoiceMonth]])*100 + MONTH(tbl_kpi_country[[#This Row],[InvoiceMonth]])</f>
        <v>201110</v>
      </c>
      <c r="H418">
        <v>3533.66</v>
      </c>
    </row>
    <row r="419" spans="1:8">
      <c r="A419" s="1">
        <v>40148</v>
      </c>
      <c r="B419" s="2" t="s">
        <v>41</v>
      </c>
      <c r="C419">
        <v>7950.18</v>
      </c>
      <c r="D419">
        <v>5</v>
      </c>
      <c r="E419">
        <v>4</v>
      </c>
      <c r="F419">
        <v>3279</v>
      </c>
      <c r="G419">
        <f>YEAR(tbl_kpi_country[[#This Row],[InvoiceMonth]])*100 + MONTH(tbl_kpi_country[[#This Row],[InvoiceMonth]])</f>
        <v>200912</v>
      </c>
      <c r="H419">
        <v>1590.0360000000001</v>
      </c>
    </row>
    <row r="420" spans="1:8">
      <c r="A420" s="1">
        <v>40179</v>
      </c>
      <c r="B420" s="2" t="s">
        <v>41</v>
      </c>
      <c r="C420">
        <v>4179.59</v>
      </c>
      <c r="D420">
        <v>9</v>
      </c>
      <c r="E420">
        <v>6</v>
      </c>
      <c r="F420">
        <v>1193</v>
      </c>
      <c r="G420">
        <f>YEAR(tbl_kpi_country[[#This Row],[InvoiceMonth]])*100 + MONTH(tbl_kpi_country[[#This Row],[InvoiceMonth]])</f>
        <v>201001</v>
      </c>
      <c r="H420">
        <v>464.39888888888891</v>
      </c>
    </row>
    <row r="421" spans="1:8">
      <c r="A421" s="1">
        <v>40210</v>
      </c>
      <c r="B421" s="2" t="s">
        <v>41</v>
      </c>
      <c r="C421">
        <v>554.04</v>
      </c>
      <c r="D421">
        <v>4</v>
      </c>
      <c r="E421">
        <v>3</v>
      </c>
      <c r="F421">
        <v>279</v>
      </c>
      <c r="G421">
        <f>YEAR(tbl_kpi_country[[#This Row],[InvoiceMonth]])*100 + MONTH(tbl_kpi_country[[#This Row],[InvoiceMonth]])</f>
        <v>201002</v>
      </c>
      <c r="H421">
        <v>138.51</v>
      </c>
    </row>
    <row r="422" spans="1:8">
      <c r="A422" s="1">
        <v>40238</v>
      </c>
      <c r="B422" s="2" t="s">
        <v>41</v>
      </c>
      <c r="C422">
        <v>1671.77</v>
      </c>
      <c r="D422">
        <v>6</v>
      </c>
      <c r="E422">
        <v>4</v>
      </c>
      <c r="F422">
        <v>1040</v>
      </c>
      <c r="G422">
        <f>YEAR(tbl_kpi_country[[#This Row],[InvoiceMonth]])*100 + MONTH(tbl_kpi_country[[#This Row],[InvoiceMonth]])</f>
        <v>201003</v>
      </c>
      <c r="H422">
        <v>278.62833333333333</v>
      </c>
    </row>
    <row r="423" spans="1:8">
      <c r="A423" s="1">
        <v>40269</v>
      </c>
      <c r="B423" s="2" t="s">
        <v>41</v>
      </c>
      <c r="C423">
        <v>833.98</v>
      </c>
      <c r="D423">
        <v>2</v>
      </c>
      <c r="E423">
        <v>2</v>
      </c>
      <c r="F423">
        <v>490</v>
      </c>
      <c r="G423">
        <f>YEAR(tbl_kpi_country[[#This Row],[InvoiceMonth]])*100 + MONTH(tbl_kpi_country[[#This Row],[InvoiceMonth]])</f>
        <v>201004</v>
      </c>
      <c r="H423">
        <v>416.99</v>
      </c>
    </row>
    <row r="424" spans="1:8">
      <c r="A424" s="1">
        <v>40299</v>
      </c>
      <c r="B424" s="2" t="s">
        <v>41</v>
      </c>
      <c r="C424">
        <v>2854.58</v>
      </c>
      <c r="D424">
        <v>5</v>
      </c>
      <c r="E424">
        <v>3</v>
      </c>
      <c r="F424">
        <v>1498</v>
      </c>
      <c r="G424">
        <f>YEAR(tbl_kpi_country[[#This Row],[InvoiceMonth]])*100 + MONTH(tbl_kpi_country[[#This Row],[InvoiceMonth]])</f>
        <v>201005</v>
      </c>
      <c r="H424">
        <v>570.91599999999994</v>
      </c>
    </row>
    <row r="425" spans="1:8">
      <c r="A425" s="1">
        <v>40330</v>
      </c>
      <c r="B425" s="2" t="s">
        <v>41</v>
      </c>
      <c r="C425">
        <v>2332.1999999999998</v>
      </c>
      <c r="D425">
        <v>2</v>
      </c>
      <c r="E425">
        <v>2</v>
      </c>
      <c r="F425">
        <v>884</v>
      </c>
      <c r="G425">
        <f>YEAR(tbl_kpi_country[[#This Row],[InvoiceMonth]])*100 + MONTH(tbl_kpi_country[[#This Row],[InvoiceMonth]])</f>
        <v>201006</v>
      </c>
      <c r="H425">
        <v>1166.0999999999999</v>
      </c>
    </row>
    <row r="426" spans="1:8">
      <c r="A426" s="1">
        <v>40360</v>
      </c>
      <c r="B426" s="2" t="s">
        <v>41</v>
      </c>
      <c r="C426">
        <v>1134.81</v>
      </c>
      <c r="D426">
        <v>3</v>
      </c>
      <c r="E426">
        <v>3</v>
      </c>
      <c r="F426">
        <v>806</v>
      </c>
      <c r="G426">
        <f>YEAR(tbl_kpi_country[[#This Row],[InvoiceMonth]])*100 + MONTH(tbl_kpi_country[[#This Row],[InvoiceMonth]])</f>
        <v>201007</v>
      </c>
      <c r="H426">
        <v>378.27</v>
      </c>
    </row>
    <row r="427" spans="1:8">
      <c r="A427" s="1">
        <v>40391</v>
      </c>
      <c r="B427" s="2" t="s">
        <v>41</v>
      </c>
      <c r="C427">
        <v>1299.99</v>
      </c>
      <c r="D427">
        <v>5</v>
      </c>
      <c r="E427">
        <v>4</v>
      </c>
      <c r="F427">
        <v>675</v>
      </c>
      <c r="G427">
        <f>YEAR(tbl_kpi_country[[#This Row],[InvoiceMonth]])*100 + MONTH(tbl_kpi_country[[#This Row],[InvoiceMonth]])</f>
        <v>201008</v>
      </c>
      <c r="H427">
        <v>259.99799999999999</v>
      </c>
    </row>
    <row r="428" spans="1:8">
      <c r="A428" s="1">
        <v>40422</v>
      </c>
      <c r="B428" s="2" t="s">
        <v>41</v>
      </c>
      <c r="C428">
        <v>3770.45</v>
      </c>
      <c r="D428">
        <v>6</v>
      </c>
      <c r="E428">
        <v>6</v>
      </c>
      <c r="F428">
        <v>2325</v>
      </c>
      <c r="G428">
        <f>YEAR(tbl_kpi_country[[#This Row],[InvoiceMonth]])*100 + MONTH(tbl_kpi_country[[#This Row],[InvoiceMonth]])</f>
        <v>201009</v>
      </c>
      <c r="H428">
        <v>628.4083333333333</v>
      </c>
    </row>
    <row r="429" spans="1:8">
      <c r="A429" s="1">
        <v>40452</v>
      </c>
      <c r="B429" s="2" t="s">
        <v>41</v>
      </c>
      <c r="C429">
        <v>14066.13</v>
      </c>
      <c r="D429">
        <v>10</v>
      </c>
      <c r="E429">
        <v>8</v>
      </c>
      <c r="F429">
        <v>6937</v>
      </c>
      <c r="G429">
        <f>YEAR(tbl_kpi_country[[#This Row],[InvoiceMonth]])*100 + MONTH(tbl_kpi_country[[#This Row],[InvoiceMonth]])</f>
        <v>201010</v>
      </c>
      <c r="H429">
        <v>1406.6129999999998</v>
      </c>
    </row>
    <row r="430" spans="1:8">
      <c r="A430" s="1">
        <v>40483</v>
      </c>
      <c r="B430" s="2" t="s">
        <v>41</v>
      </c>
      <c r="C430">
        <v>6126.21</v>
      </c>
      <c r="D430">
        <v>7</v>
      </c>
      <c r="E430">
        <v>6</v>
      </c>
      <c r="F430">
        <v>2968</v>
      </c>
      <c r="G430">
        <f>YEAR(tbl_kpi_country[[#This Row],[InvoiceMonth]])*100 + MONTH(tbl_kpi_country[[#This Row],[InvoiceMonth]])</f>
        <v>201011</v>
      </c>
      <c r="H430">
        <v>875.1728571428572</v>
      </c>
    </row>
    <row r="431" spans="1:8">
      <c r="A431" s="1">
        <v>40513</v>
      </c>
      <c r="B431" s="2" t="s">
        <v>41</v>
      </c>
      <c r="C431">
        <v>2638.45</v>
      </c>
      <c r="D431">
        <v>4</v>
      </c>
      <c r="E431">
        <v>4</v>
      </c>
      <c r="F431">
        <v>1334</v>
      </c>
      <c r="G431">
        <f>YEAR(tbl_kpi_country[[#This Row],[InvoiceMonth]])*100 + MONTH(tbl_kpi_country[[#This Row],[InvoiceMonth]])</f>
        <v>201012</v>
      </c>
      <c r="H431">
        <v>659.61249999999995</v>
      </c>
    </row>
    <row r="432" spans="1:8">
      <c r="A432" s="1">
        <v>40544</v>
      </c>
      <c r="B432" s="2" t="s">
        <v>41</v>
      </c>
      <c r="C432">
        <v>10086.09</v>
      </c>
      <c r="D432">
        <v>8</v>
      </c>
      <c r="E432">
        <v>7</v>
      </c>
      <c r="F432">
        <v>3845</v>
      </c>
      <c r="G432">
        <f>YEAR(tbl_kpi_country[[#This Row],[InvoiceMonth]])*100 + MONTH(tbl_kpi_country[[#This Row],[InvoiceMonth]])</f>
        <v>201101</v>
      </c>
      <c r="H432">
        <v>1260.76125</v>
      </c>
    </row>
    <row r="433" spans="1:8">
      <c r="A433" s="1">
        <v>40575</v>
      </c>
      <c r="B433" s="2" t="s">
        <v>41</v>
      </c>
      <c r="C433">
        <v>2114.5</v>
      </c>
      <c r="D433">
        <v>4</v>
      </c>
      <c r="E433">
        <v>4</v>
      </c>
      <c r="F433">
        <v>870</v>
      </c>
      <c r="G433">
        <f>YEAR(tbl_kpi_country[[#This Row],[InvoiceMonth]])*100 + MONTH(tbl_kpi_country[[#This Row],[InvoiceMonth]])</f>
        <v>201102</v>
      </c>
      <c r="H433">
        <v>528.625</v>
      </c>
    </row>
    <row r="434" spans="1:8">
      <c r="A434" s="1">
        <v>40603</v>
      </c>
      <c r="B434" s="2" t="s">
        <v>41</v>
      </c>
      <c r="C434">
        <v>5363.15</v>
      </c>
      <c r="D434">
        <v>8</v>
      </c>
      <c r="E434">
        <v>8</v>
      </c>
      <c r="F434">
        <v>2545</v>
      </c>
      <c r="G434">
        <f>YEAR(tbl_kpi_country[[#This Row],[InvoiceMonth]])*100 + MONTH(tbl_kpi_country[[#This Row],[InvoiceMonth]])</f>
        <v>201103</v>
      </c>
      <c r="H434">
        <v>670.39374999999995</v>
      </c>
    </row>
    <row r="435" spans="1:8">
      <c r="A435" s="1">
        <v>40634</v>
      </c>
      <c r="B435" s="2" t="s">
        <v>41</v>
      </c>
      <c r="C435">
        <v>1785.65</v>
      </c>
      <c r="D435">
        <v>3</v>
      </c>
      <c r="E435">
        <v>3</v>
      </c>
      <c r="F435">
        <v>953</v>
      </c>
      <c r="G435">
        <f>YEAR(tbl_kpi_country[[#This Row],[InvoiceMonth]])*100 + MONTH(tbl_kpi_country[[#This Row],[InvoiceMonth]])</f>
        <v>201104</v>
      </c>
      <c r="H435">
        <v>595.2166666666667</v>
      </c>
    </row>
    <row r="436" spans="1:8">
      <c r="A436" s="1">
        <v>40664</v>
      </c>
      <c r="B436" s="2" t="s">
        <v>41</v>
      </c>
      <c r="C436">
        <v>3257.6</v>
      </c>
      <c r="D436">
        <v>4</v>
      </c>
      <c r="E436">
        <v>3</v>
      </c>
      <c r="F436">
        <v>1468</v>
      </c>
      <c r="G436">
        <f>YEAR(tbl_kpi_country[[#This Row],[InvoiceMonth]])*100 + MONTH(tbl_kpi_country[[#This Row],[InvoiceMonth]])</f>
        <v>201105</v>
      </c>
      <c r="H436">
        <v>814.4</v>
      </c>
    </row>
    <row r="437" spans="1:8">
      <c r="A437" s="1">
        <v>40695</v>
      </c>
      <c r="B437" s="2" t="s">
        <v>41</v>
      </c>
      <c r="C437">
        <v>3333.21</v>
      </c>
      <c r="D437">
        <v>8</v>
      </c>
      <c r="E437">
        <v>8</v>
      </c>
      <c r="F437">
        <v>1538</v>
      </c>
      <c r="G437">
        <f>YEAR(tbl_kpi_country[[#This Row],[InvoiceMonth]])*100 + MONTH(tbl_kpi_country[[#This Row],[InvoiceMonth]])</f>
        <v>201106</v>
      </c>
      <c r="H437">
        <v>416.65125</v>
      </c>
    </row>
    <row r="438" spans="1:8">
      <c r="A438" s="1">
        <v>40725</v>
      </c>
      <c r="B438" s="2" t="s">
        <v>41</v>
      </c>
      <c r="C438">
        <v>7620.77</v>
      </c>
      <c r="D438">
        <v>9</v>
      </c>
      <c r="E438">
        <v>7</v>
      </c>
      <c r="F438">
        <v>3435</v>
      </c>
      <c r="G438">
        <f>YEAR(tbl_kpi_country[[#This Row],[InvoiceMonth]])*100 + MONTH(tbl_kpi_country[[#This Row],[InvoiceMonth]])</f>
        <v>201107</v>
      </c>
      <c r="H438">
        <v>846.75222222222226</v>
      </c>
    </row>
    <row r="439" spans="1:8">
      <c r="A439" s="1">
        <v>40756</v>
      </c>
      <c r="B439" s="2" t="s">
        <v>41</v>
      </c>
      <c r="C439">
        <v>3342.41</v>
      </c>
      <c r="D439">
        <v>10</v>
      </c>
      <c r="E439">
        <v>6</v>
      </c>
      <c r="F439">
        <v>1598</v>
      </c>
      <c r="G439">
        <f>YEAR(tbl_kpi_country[[#This Row],[InvoiceMonth]])*100 + MONTH(tbl_kpi_country[[#This Row],[InvoiceMonth]])</f>
        <v>201108</v>
      </c>
      <c r="H439">
        <v>334.24099999999999</v>
      </c>
    </row>
    <row r="440" spans="1:8">
      <c r="A440" s="1">
        <v>40787</v>
      </c>
      <c r="B440" s="2" t="s">
        <v>41</v>
      </c>
      <c r="C440">
        <v>5189.24</v>
      </c>
      <c r="D440">
        <v>8</v>
      </c>
      <c r="E440">
        <v>6</v>
      </c>
      <c r="F440">
        <v>2683</v>
      </c>
      <c r="G440">
        <f>YEAR(tbl_kpi_country[[#This Row],[InvoiceMonth]])*100 + MONTH(tbl_kpi_country[[#This Row],[InvoiceMonth]])</f>
        <v>201109</v>
      </c>
      <c r="H440">
        <v>648.65499999999997</v>
      </c>
    </row>
    <row r="441" spans="1:8">
      <c r="A441" s="1">
        <v>40817</v>
      </c>
      <c r="B441" s="2" t="s">
        <v>41</v>
      </c>
      <c r="C441">
        <v>8636.94</v>
      </c>
      <c r="D441">
        <v>8</v>
      </c>
      <c r="E441">
        <v>7</v>
      </c>
      <c r="F441">
        <v>4352</v>
      </c>
      <c r="G441">
        <f>YEAR(tbl_kpi_country[[#This Row],[InvoiceMonth]])*100 + MONTH(tbl_kpi_country[[#This Row],[InvoiceMonth]])</f>
        <v>201110</v>
      </c>
      <c r="H441">
        <v>1079.6175000000001</v>
      </c>
    </row>
    <row r="442" spans="1:8">
      <c r="A442" s="1">
        <v>40848</v>
      </c>
      <c r="B442" s="2" t="s">
        <v>41</v>
      </c>
      <c r="C442">
        <v>8669.06</v>
      </c>
      <c r="D442">
        <v>14</v>
      </c>
      <c r="E442">
        <v>12</v>
      </c>
      <c r="F442">
        <v>3505</v>
      </c>
      <c r="G442">
        <f>YEAR(tbl_kpi_country[[#This Row],[InvoiceMonth]])*100 + MONTH(tbl_kpi_country[[#This Row],[InvoiceMonth]])</f>
        <v>201111</v>
      </c>
      <c r="H442">
        <v>619.21857142857141</v>
      </c>
    </row>
    <row r="443" spans="1:8">
      <c r="A443" s="1">
        <v>40878</v>
      </c>
      <c r="B443" s="2" t="s">
        <v>41</v>
      </c>
      <c r="C443">
        <v>316.20999999999998</v>
      </c>
      <c r="D443">
        <v>2</v>
      </c>
      <c r="E443">
        <v>2</v>
      </c>
      <c r="F443">
        <v>274</v>
      </c>
      <c r="G443">
        <f>YEAR(tbl_kpi_country[[#This Row],[InvoiceMonth]])*100 + MONTH(tbl_kpi_country[[#This Row],[InvoiceMonth]])</f>
        <v>201112</v>
      </c>
      <c r="H443">
        <v>158.10499999999999</v>
      </c>
    </row>
    <row r="444" spans="1:8">
      <c r="A444" s="1">
        <v>40148</v>
      </c>
      <c r="B444" s="2" t="s">
        <v>42</v>
      </c>
      <c r="C444">
        <v>285.29999999999995</v>
      </c>
      <c r="D444">
        <v>1</v>
      </c>
      <c r="E444">
        <v>1</v>
      </c>
      <c r="F444">
        <v>174</v>
      </c>
      <c r="G444">
        <f>YEAR(tbl_kpi_country[[#This Row],[InvoiceMonth]])*100 + MONTH(tbl_kpi_country[[#This Row],[InvoiceMonth]])</f>
        <v>200912</v>
      </c>
      <c r="H444">
        <v>285.29999999999995</v>
      </c>
    </row>
    <row r="445" spans="1:8">
      <c r="A445" s="1">
        <v>40179</v>
      </c>
      <c r="B445" s="2" t="s">
        <v>42</v>
      </c>
      <c r="C445">
        <v>1680.15</v>
      </c>
      <c r="D445">
        <v>3</v>
      </c>
      <c r="E445">
        <v>2</v>
      </c>
      <c r="F445">
        <v>1537</v>
      </c>
      <c r="G445">
        <f>YEAR(tbl_kpi_country[[#This Row],[InvoiceMonth]])*100 + MONTH(tbl_kpi_country[[#This Row],[InvoiceMonth]])</f>
        <v>201001</v>
      </c>
      <c r="H445">
        <v>560.05000000000007</v>
      </c>
    </row>
    <row r="446" spans="1:8">
      <c r="A446" s="1">
        <v>40210</v>
      </c>
      <c r="B446" s="2" t="s">
        <v>42</v>
      </c>
      <c r="C446">
        <v>8202.58</v>
      </c>
      <c r="D446">
        <v>7</v>
      </c>
      <c r="E446">
        <v>3</v>
      </c>
      <c r="F446">
        <v>8497</v>
      </c>
      <c r="G446">
        <f>YEAR(tbl_kpi_country[[#This Row],[InvoiceMonth]])*100 + MONTH(tbl_kpi_country[[#This Row],[InvoiceMonth]])</f>
        <v>201002</v>
      </c>
      <c r="H446">
        <v>1171.7971428571429</v>
      </c>
    </row>
    <row r="447" spans="1:8">
      <c r="A447" s="1">
        <v>40238</v>
      </c>
      <c r="B447" s="2" t="s">
        <v>42</v>
      </c>
      <c r="C447">
        <v>1314.18</v>
      </c>
      <c r="D447">
        <v>5</v>
      </c>
      <c r="E447">
        <v>4</v>
      </c>
      <c r="F447">
        <v>548</v>
      </c>
      <c r="G447">
        <f>YEAR(tbl_kpi_country[[#This Row],[InvoiceMonth]])*100 + MONTH(tbl_kpi_country[[#This Row],[InvoiceMonth]])</f>
        <v>201003</v>
      </c>
      <c r="H447">
        <v>262.83600000000001</v>
      </c>
    </row>
    <row r="448" spans="1:8">
      <c r="A448" s="1">
        <v>40269</v>
      </c>
      <c r="B448" s="2" t="s">
        <v>42</v>
      </c>
      <c r="C448">
        <v>17698.12</v>
      </c>
      <c r="D448">
        <v>16</v>
      </c>
      <c r="E448">
        <v>3</v>
      </c>
      <c r="F448">
        <v>18648</v>
      </c>
      <c r="G448">
        <f>YEAR(tbl_kpi_country[[#This Row],[InvoiceMonth]])*100 + MONTH(tbl_kpi_country[[#This Row],[InvoiceMonth]])</f>
        <v>201004</v>
      </c>
      <c r="H448">
        <v>1106.1324999999999</v>
      </c>
    </row>
    <row r="449" spans="1:8">
      <c r="A449" s="1">
        <v>40299</v>
      </c>
      <c r="B449" s="2" t="s">
        <v>42</v>
      </c>
      <c r="C449">
        <v>3556.7599999999998</v>
      </c>
      <c r="D449">
        <v>10</v>
      </c>
      <c r="E449">
        <v>1</v>
      </c>
      <c r="F449">
        <v>6084</v>
      </c>
      <c r="G449">
        <f>YEAR(tbl_kpi_country[[#This Row],[InvoiceMonth]])*100 + MONTH(tbl_kpi_country[[#This Row],[InvoiceMonth]])</f>
        <v>201005</v>
      </c>
      <c r="H449">
        <v>355.67599999999999</v>
      </c>
    </row>
    <row r="450" spans="1:8">
      <c r="A450" s="1">
        <v>40330</v>
      </c>
      <c r="B450" s="2" t="s">
        <v>42</v>
      </c>
      <c r="C450">
        <v>914.30000000000007</v>
      </c>
      <c r="D450">
        <v>2</v>
      </c>
      <c r="E450">
        <v>2</v>
      </c>
      <c r="F450">
        <v>467</v>
      </c>
      <c r="G450">
        <f>YEAR(tbl_kpi_country[[#This Row],[InvoiceMonth]])*100 + MONTH(tbl_kpi_country[[#This Row],[InvoiceMonth]])</f>
        <v>201006</v>
      </c>
      <c r="H450">
        <v>457.15000000000003</v>
      </c>
    </row>
    <row r="451" spans="1:8">
      <c r="A451" s="1">
        <v>40360</v>
      </c>
      <c r="B451" s="2" t="s">
        <v>42</v>
      </c>
      <c r="C451">
        <v>2590.7800000000002</v>
      </c>
      <c r="D451">
        <v>2</v>
      </c>
      <c r="E451">
        <v>2</v>
      </c>
      <c r="F451">
        <v>2513</v>
      </c>
      <c r="G451">
        <f>YEAR(tbl_kpi_country[[#This Row],[InvoiceMonth]])*100 + MONTH(tbl_kpi_country[[#This Row],[InvoiceMonth]])</f>
        <v>201007</v>
      </c>
      <c r="H451">
        <v>1295.3900000000001</v>
      </c>
    </row>
    <row r="452" spans="1:8">
      <c r="A452" s="1">
        <v>40391</v>
      </c>
      <c r="B452" s="2" t="s">
        <v>42</v>
      </c>
      <c r="C452">
        <v>2702.94</v>
      </c>
      <c r="D452">
        <v>5</v>
      </c>
      <c r="E452">
        <v>2</v>
      </c>
      <c r="F452">
        <v>1827</v>
      </c>
      <c r="G452">
        <f>YEAR(tbl_kpi_country[[#This Row],[InvoiceMonth]])*100 + MONTH(tbl_kpi_country[[#This Row],[InvoiceMonth]])</f>
        <v>201008</v>
      </c>
      <c r="H452">
        <v>540.58799999999997</v>
      </c>
    </row>
    <row r="453" spans="1:8">
      <c r="A453" s="1">
        <v>40422</v>
      </c>
      <c r="B453" s="2" t="s">
        <v>42</v>
      </c>
      <c r="C453">
        <v>2899.56</v>
      </c>
      <c r="D453">
        <v>4</v>
      </c>
      <c r="E453">
        <v>3</v>
      </c>
      <c r="F453">
        <v>3526</v>
      </c>
      <c r="G453">
        <f>YEAR(tbl_kpi_country[[#This Row],[InvoiceMonth]])*100 + MONTH(tbl_kpi_country[[#This Row],[InvoiceMonth]])</f>
        <v>201009</v>
      </c>
      <c r="H453">
        <v>724.89</v>
      </c>
    </row>
    <row r="454" spans="1:8">
      <c r="A454" s="1">
        <v>40452</v>
      </c>
      <c r="B454" s="2" t="s">
        <v>42</v>
      </c>
      <c r="C454">
        <v>9369.41</v>
      </c>
      <c r="D454">
        <v>8</v>
      </c>
      <c r="E454">
        <v>6</v>
      </c>
      <c r="F454">
        <v>7814</v>
      </c>
      <c r="G454">
        <f>YEAR(tbl_kpi_country[[#This Row],[InvoiceMonth]])*100 + MONTH(tbl_kpi_country[[#This Row],[InvoiceMonth]])</f>
        <v>201010</v>
      </c>
      <c r="H454">
        <v>1171.17625</v>
      </c>
    </row>
    <row r="455" spans="1:8">
      <c r="A455" s="1">
        <v>40483</v>
      </c>
      <c r="B455" s="2" t="s">
        <v>42</v>
      </c>
      <c r="C455">
        <v>1933.91</v>
      </c>
      <c r="D455">
        <v>5</v>
      </c>
      <c r="E455">
        <v>3</v>
      </c>
      <c r="F455">
        <v>782</v>
      </c>
      <c r="G455">
        <f>YEAR(tbl_kpi_country[[#This Row],[InvoiceMonth]])*100 + MONTH(tbl_kpi_country[[#This Row],[InvoiceMonth]])</f>
        <v>201011</v>
      </c>
      <c r="H455">
        <v>386.78200000000004</v>
      </c>
    </row>
    <row r="456" spans="1:8">
      <c r="A456" s="1">
        <v>40513</v>
      </c>
      <c r="B456" s="2" t="s">
        <v>42</v>
      </c>
      <c r="C456">
        <v>3834.2999999999997</v>
      </c>
      <c r="D456">
        <v>2</v>
      </c>
      <c r="E456">
        <v>1</v>
      </c>
      <c r="F456">
        <v>3954</v>
      </c>
      <c r="G456">
        <f>YEAR(tbl_kpi_country[[#This Row],[InvoiceMonth]])*100 + MONTH(tbl_kpi_country[[#This Row],[InvoiceMonth]])</f>
        <v>201012</v>
      </c>
      <c r="H456">
        <v>1917.1499999999999</v>
      </c>
    </row>
    <row r="457" spans="1:8">
      <c r="A457" s="1">
        <v>40544</v>
      </c>
      <c r="B457" s="2" t="s">
        <v>42</v>
      </c>
      <c r="C457">
        <v>3486.32</v>
      </c>
      <c r="D457">
        <v>2</v>
      </c>
      <c r="E457">
        <v>2</v>
      </c>
      <c r="F457">
        <v>3097</v>
      </c>
      <c r="G457">
        <f>YEAR(tbl_kpi_country[[#This Row],[InvoiceMonth]])*100 + MONTH(tbl_kpi_country[[#This Row],[InvoiceMonth]])</f>
        <v>201101</v>
      </c>
      <c r="H457">
        <v>1743.16</v>
      </c>
    </row>
    <row r="458" spans="1:8">
      <c r="A458" s="1">
        <v>40575</v>
      </c>
      <c r="B458" s="2" t="s">
        <v>42</v>
      </c>
      <c r="C458">
        <v>509.5</v>
      </c>
      <c r="D458">
        <v>1</v>
      </c>
      <c r="E458">
        <v>1</v>
      </c>
      <c r="F458">
        <v>250</v>
      </c>
      <c r="G458">
        <f>YEAR(tbl_kpi_country[[#This Row],[InvoiceMonth]])*100 + MONTH(tbl_kpi_country[[#This Row],[InvoiceMonth]])</f>
        <v>201102</v>
      </c>
      <c r="H458">
        <v>509.5</v>
      </c>
    </row>
    <row r="459" spans="1:8">
      <c r="A459" s="1">
        <v>40603</v>
      </c>
      <c r="B459" s="2" t="s">
        <v>42</v>
      </c>
      <c r="C459">
        <v>4720.58</v>
      </c>
      <c r="D459">
        <v>3</v>
      </c>
      <c r="E459">
        <v>2</v>
      </c>
      <c r="F459">
        <v>5407</v>
      </c>
      <c r="G459">
        <f>YEAR(tbl_kpi_country[[#This Row],[InvoiceMonth]])*100 + MONTH(tbl_kpi_country[[#This Row],[InvoiceMonth]])</f>
        <v>201103</v>
      </c>
      <c r="H459">
        <v>1573.5266666666666</v>
      </c>
    </row>
    <row r="460" spans="1:8">
      <c r="A460" s="1">
        <v>40634</v>
      </c>
      <c r="B460" s="2" t="s">
        <v>42</v>
      </c>
      <c r="C460">
        <v>809.1</v>
      </c>
      <c r="D460">
        <v>2</v>
      </c>
      <c r="E460">
        <v>2</v>
      </c>
      <c r="F460">
        <v>310</v>
      </c>
      <c r="G460">
        <f>YEAR(tbl_kpi_country[[#This Row],[InvoiceMonth]])*100 + MONTH(tbl_kpi_country[[#This Row],[InvoiceMonth]])</f>
        <v>201104</v>
      </c>
      <c r="H460">
        <v>404.55</v>
      </c>
    </row>
    <row r="461" spans="1:8">
      <c r="A461" s="1">
        <v>40664</v>
      </c>
      <c r="B461" s="2" t="s">
        <v>42</v>
      </c>
      <c r="C461">
        <v>2681.98</v>
      </c>
      <c r="D461">
        <v>3</v>
      </c>
      <c r="E461">
        <v>2</v>
      </c>
      <c r="F461">
        <v>2833</v>
      </c>
      <c r="G461">
        <f>YEAR(tbl_kpi_country[[#This Row],[InvoiceMonth]])*100 + MONTH(tbl_kpi_country[[#This Row],[InvoiceMonth]])</f>
        <v>201105</v>
      </c>
      <c r="H461">
        <v>893.99333333333334</v>
      </c>
    </row>
    <row r="462" spans="1:8">
      <c r="A462" s="1">
        <v>40695</v>
      </c>
      <c r="B462" s="2" t="s">
        <v>42</v>
      </c>
      <c r="C462">
        <v>832</v>
      </c>
      <c r="D462">
        <v>3</v>
      </c>
      <c r="E462">
        <v>3</v>
      </c>
      <c r="F462">
        <v>404</v>
      </c>
      <c r="G462">
        <f>YEAR(tbl_kpi_country[[#This Row],[InvoiceMonth]])*100 + MONTH(tbl_kpi_country[[#This Row],[InvoiceMonth]])</f>
        <v>201106</v>
      </c>
      <c r="H462">
        <v>277.33333333333331</v>
      </c>
    </row>
    <row r="463" spans="1:8">
      <c r="A463" s="1">
        <v>40725</v>
      </c>
      <c r="B463" s="2" t="s">
        <v>42</v>
      </c>
      <c r="C463">
        <v>6802.09</v>
      </c>
      <c r="D463">
        <v>3</v>
      </c>
      <c r="E463">
        <v>2</v>
      </c>
      <c r="F463">
        <v>6006</v>
      </c>
      <c r="G463">
        <f>YEAR(tbl_kpi_country[[#This Row],[InvoiceMonth]])*100 + MONTH(tbl_kpi_country[[#This Row],[InvoiceMonth]])</f>
        <v>201107</v>
      </c>
      <c r="H463">
        <v>2267.3633333333332</v>
      </c>
    </row>
    <row r="464" spans="1:8">
      <c r="A464" s="1">
        <v>40756</v>
      </c>
      <c r="B464" s="2" t="s">
        <v>42</v>
      </c>
      <c r="C464">
        <v>1390.3600000000001</v>
      </c>
      <c r="D464">
        <v>5</v>
      </c>
      <c r="E464">
        <v>4</v>
      </c>
      <c r="F464">
        <v>1309</v>
      </c>
      <c r="G464">
        <f>YEAR(tbl_kpi_country[[#This Row],[InvoiceMonth]])*100 + MONTH(tbl_kpi_country[[#This Row],[InvoiceMonth]])</f>
        <v>201108</v>
      </c>
      <c r="H464">
        <v>278.072</v>
      </c>
    </row>
    <row r="465" spans="1:8">
      <c r="A465" s="1">
        <v>40787</v>
      </c>
      <c r="B465" s="2" t="s">
        <v>42</v>
      </c>
      <c r="C465">
        <v>4575.21</v>
      </c>
      <c r="D465">
        <v>3</v>
      </c>
      <c r="E465">
        <v>3</v>
      </c>
      <c r="F465">
        <v>4344</v>
      </c>
      <c r="G465">
        <f>YEAR(tbl_kpi_country[[#This Row],[InvoiceMonth]])*100 + MONTH(tbl_kpi_country[[#This Row],[InvoiceMonth]])</f>
        <v>201109</v>
      </c>
      <c r="H465">
        <v>1525.07</v>
      </c>
    </row>
    <row r="466" spans="1:8">
      <c r="A466" s="1">
        <v>40817</v>
      </c>
      <c r="B466" s="2" t="s">
        <v>42</v>
      </c>
      <c r="C466">
        <v>5766.16</v>
      </c>
      <c r="D466">
        <v>3</v>
      </c>
      <c r="E466">
        <v>2</v>
      </c>
      <c r="F466">
        <v>6151</v>
      </c>
      <c r="G466">
        <f>YEAR(tbl_kpi_country[[#This Row],[InvoiceMonth]])*100 + MONTH(tbl_kpi_country[[#This Row],[InvoiceMonth]])</f>
        <v>201110</v>
      </c>
      <c r="H466">
        <v>1922.0533333333333</v>
      </c>
    </row>
    <row r="467" spans="1:8">
      <c r="A467" s="1">
        <v>40848</v>
      </c>
      <c r="B467" s="2" t="s">
        <v>42</v>
      </c>
      <c r="C467">
        <v>2722.23</v>
      </c>
      <c r="D467">
        <v>5</v>
      </c>
      <c r="E467">
        <v>5</v>
      </c>
      <c r="F467">
        <v>1973</v>
      </c>
      <c r="G467">
        <f>YEAR(tbl_kpi_country[[#This Row],[InvoiceMonth]])*100 + MONTH(tbl_kpi_country[[#This Row],[InvoiceMonth]])</f>
        <v>201111</v>
      </c>
      <c r="H467">
        <v>544.44600000000003</v>
      </c>
    </row>
    <row r="468" spans="1:8">
      <c r="A468" s="1">
        <v>40878</v>
      </c>
      <c r="B468" s="2" t="s">
        <v>42</v>
      </c>
      <c r="C468">
        <v>238</v>
      </c>
      <c r="D468">
        <v>1</v>
      </c>
      <c r="E468">
        <v>1</v>
      </c>
      <c r="F468">
        <v>40</v>
      </c>
      <c r="G468">
        <f>YEAR(tbl_kpi_country[[#This Row],[InvoiceMonth]])*100 + MONTH(tbl_kpi_country[[#This Row],[InvoiceMonth]])</f>
        <v>201112</v>
      </c>
      <c r="H468">
        <v>238</v>
      </c>
    </row>
    <row r="469" spans="1:8">
      <c r="A469" s="1">
        <v>40148</v>
      </c>
      <c r="B469" s="2" t="s">
        <v>43</v>
      </c>
      <c r="C469">
        <v>589.4</v>
      </c>
      <c r="D469">
        <v>1</v>
      </c>
      <c r="E469">
        <v>1</v>
      </c>
      <c r="F469">
        <v>220</v>
      </c>
      <c r="G469">
        <f>YEAR(tbl_kpi_country[[#This Row],[InvoiceMonth]])*100 + MONTH(tbl_kpi_country[[#This Row],[InvoiceMonth]])</f>
        <v>200912</v>
      </c>
      <c r="H469">
        <v>589.4</v>
      </c>
    </row>
    <row r="470" spans="1:8">
      <c r="A470" s="1">
        <v>40210</v>
      </c>
      <c r="B470" s="2" t="s">
        <v>43</v>
      </c>
      <c r="C470">
        <v>477.68</v>
      </c>
      <c r="D470">
        <v>1</v>
      </c>
      <c r="E470">
        <v>1</v>
      </c>
      <c r="F470">
        <v>306</v>
      </c>
      <c r="G470">
        <f>YEAR(tbl_kpi_country[[#This Row],[InvoiceMonth]])*100 + MONTH(tbl_kpi_country[[#This Row],[InvoiceMonth]])</f>
        <v>201002</v>
      </c>
      <c r="H470">
        <v>477.68</v>
      </c>
    </row>
    <row r="471" spans="1:8">
      <c r="A471" s="1">
        <v>40238</v>
      </c>
      <c r="B471" s="2" t="s">
        <v>43</v>
      </c>
      <c r="C471">
        <v>951.62</v>
      </c>
      <c r="D471">
        <v>3</v>
      </c>
      <c r="E471">
        <v>2</v>
      </c>
      <c r="F471">
        <v>454</v>
      </c>
      <c r="G471">
        <f>YEAR(tbl_kpi_country[[#This Row],[InvoiceMonth]])*100 + MONTH(tbl_kpi_country[[#This Row],[InvoiceMonth]])</f>
        <v>201003</v>
      </c>
      <c r="H471">
        <v>317.20666666666665</v>
      </c>
    </row>
    <row r="472" spans="1:8">
      <c r="A472" s="1">
        <v>40269</v>
      </c>
      <c r="B472" s="2" t="s">
        <v>43</v>
      </c>
      <c r="C472">
        <v>1939.76</v>
      </c>
      <c r="D472">
        <v>2</v>
      </c>
      <c r="E472">
        <v>2</v>
      </c>
      <c r="F472">
        <v>1201</v>
      </c>
      <c r="G472">
        <f>YEAR(tbl_kpi_country[[#This Row],[InvoiceMonth]])*100 + MONTH(tbl_kpi_country[[#This Row],[InvoiceMonth]])</f>
        <v>201004</v>
      </c>
      <c r="H472">
        <v>969.88</v>
      </c>
    </row>
    <row r="473" spans="1:8">
      <c r="A473" s="1">
        <v>40299</v>
      </c>
      <c r="B473" s="2" t="s">
        <v>43</v>
      </c>
      <c r="C473">
        <v>9825.16</v>
      </c>
      <c r="D473">
        <v>6</v>
      </c>
      <c r="E473">
        <v>5</v>
      </c>
      <c r="F473">
        <v>5947</v>
      </c>
      <c r="G473">
        <f>YEAR(tbl_kpi_country[[#This Row],[InvoiceMonth]])*100 + MONTH(tbl_kpi_country[[#This Row],[InvoiceMonth]])</f>
        <v>201005</v>
      </c>
      <c r="H473">
        <v>1637.5266666666666</v>
      </c>
    </row>
    <row r="474" spans="1:8">
      <c r="A474" s="1">
        <v>40330</v>
      </c>
      <c r="B474" s="2" t="s">
        <v>43</v>
      </c>
      <c r="C474">
        <v>2362.4699999999998</v>
      </c>
      <c r="D474">
        <v>2</v>
      </c>
      <c r="E474">
        <v>2</v>
      </c>
      <c r="F474">
        <v>1882</v>
      </c>
      <c r="G474">
        <f>YEAR(tbl_kpi_country[[#This Row],[InvoiceMonth]])*100 + MONTH(tbl_kpi_country[[#This Row],[InvoiceMonth]])</f>
        <v>201006</v>
      </c>
      <c r="H474">
        <v>1181.2349999999999</v>
      </c>
    </row>
    <row r="475" spans="1:8">
      <c r="A475" s="1">
        <v>40360</v>
      </c>
      <c r="B475" s="2" t="s">
        <v>43</v>
      </c>
      <c r="C475">
        <v>743.99</v>
      </c>
      <c r="D475">
        <v>5</v>
      </c>
      <c r="E475">
        <v>3</v>
      </c>
      <c r="F475">
        <v>507</v>
      </c>
      <c r="G475">
        <f>YEAR(tbl_kpi_country[[#This Row],[InvoiceMonth]])*100 + MONTH(tbl_kpi_country[[#This Row],[InvoiceMonth]])</f>
        <v>201007</v>
      </c>
      <c r="H475">
        <v>148.798</v>
      </c>
    </row>
    <row r="476" spans="1:8">
      <c r="A476" s="1">
        <v>40391</v>
      </c>
      <c r="B476" s="2" t="s">
        <v>43</v>
      </c>
      <c r="C476">
        <v>2053.0500000000002</v>
      </c>
      <c r="D476">
        <v>3</v>
      </c>
      <c r="E476">
        <v>3</v>
      </c>
      <c r="F476">
        <v>1062</v>
      </c>
      <c r="G476">
        <f>YEAR(tbl_kpi_country[[#This Row],[InvoiceMonth]])*100 + MONTH(tbl_kpi_country[[#This Row],[InvoiceMonth]])</f>
        <v>201008</v>
      </c>
      <c r="H476">
        <v>684.35</v>
      </c>
    </row>
    <row r="477" spans="1:8">
      <c r="A477" s="1">
        <v>40422</v>
      </c>
      <c r="B477" s="2" t="s">
        <v>43</v>
      </c>
      <c r="C477">
        <v>2474.44</v>
      </c>
      <c r="D477">
        <v>4</v>
      </c>
      <c r="E477">
        <v>3</v>
      </c>
      <c r="F477">
        <v>1356</v>
      </c>
      <c r="G477">
        <f>YEAR(tbl_kpi_country[[#This Row],[InvoiceMonth]])*100 + MONTH(tbl_kpi_country[[#This Row],[InvoiceMonth]])</f>
        <v>201009</v>
      </c>
      <c r="H477">
        <v>618.61</v>
      </c>
    </row>
    <row r="478" spans="1:8">
      <c r="A478" s="1">
        <v>40452</v>
      </c>
      <c r="B478" s="2" t="s">
        <v>43</v>
      </c>
      <c r="C478">
        <v>8629.69</v>
      </c>
      <c r="D478">
        <v>6</v>
      </c>
      <c r="E478">
        <v>6</v>
      </c>
      <c r="F478">
        <v>4611</v>
      </c>
      <c r="G478">
        <f>YEAR(tbl_kpi_country[[#This Row],[InvoiceMonth]])*100 + MONTH(tbl_kpi_country[[#This Row],[InvoiceMonth]])</f>
        <v>201010</v>
      </c>
      <c r="H478">
        <v>1438.2816666666668</v>
      </c>
    </row>
    <row r="479" spans="1:8">
      <c r="A479" s="1">
        <v>40483</v>
      </c>
      <c r="B479" s="2" t="s">
        <v>43</v>
      </c>
      <c r="C479">
        <v>13570.73</v>
      </c>
      <c r="D479">
        <v>6</v>
      </c>
      <c r="E479">
        <v>5</v>
      </c>
      <c r="F479">
        <v>4599</v>
      </c>
      <c r="G479">
        <f>YEAR(tbl_kpi_country[[#This Row],[InvoiceMonth]])*100 + MONTH(tbl_kpi_country[[#This Row],[InvoiceMonth]])</f>
        <v>201011</v>
      </c>
      <c r="H479">
        <v>2261.7883333333334</v>
      </c>
    </row>
    <row r="480" spans="1:8">
      <c r="A480" s="1">
        <v>40513</v>
      </c>
      <c r="B480" s="2" t="s">
        <v>43</v>
      </c>
      <c r="C480">
        <v>1608.32</v>
      </c>
      <c r="D480">
        <v>2</v>
      </c>
      <c r="E480">
        <v>2</v>
      </c>
      <c r="F480">
        <v>824</v>
      </c>
      <c r="G480">
        <f>YEAR(tbl_kpi_country[[#This Row],[InvoiceMonth]])*100 + MONTH(tbl_kpi_country[[#This Row],[InvoiceMonth]])</f>
        <v>201012</v>
      </c>
      <c r="H480">
        <v>804.16</v>
      </c>
    </row>
    <row r="481" spans="1:8">
      <c r="A481" s="1">
        <v>40544</v>
      </c>
      <c r="B481" s="2" t="s">
        <v>43</v>
      </c>
      <c r="C481">
        <v>4231.2299999999996</v>
      </c>
      <c r="D481">
        <v>3</v>
      </c>
      <c r="E481">
        <v>3</v>
      </c>
      <c r="F481">
        <v>2993</v>
      </c>
      <c r="G481">
        <f>YEAR(tbl_kpi_country[[#This Row],[InvoiceMonth]])*100 + MONTH(tbl_kpi_country[[#This Row],[InvoiceMonth]])</f>
        <v>201101</v>
      </c>
      <c r="H481">
        <v>1410.4099999999999</v>
      </c>
    </row>
    <row r="482" spans="1:8">
      <c r="A482" s="1">
        <v>40575</v>
      </c>
      <c r="B482" s="2" t="s">
        <v>43</v>
      </c>
      <c r="C482">
        <v>2654.92</v>
      </c>
      <c r="D482">
        <v>5</v>
      </c>
      <c r="E482">
        <v>4</v>
      </c>
      <c r="F482">
        <v>1107</v>
      </c>
      <c r="G482">
        <f>YEAR(tbl_kpi_country[[#This Row],[InvoiceMonth]])*100 + MONTH(tbl_kpi_country[[#This Row],[InvoiceMonth]])</f>
        <v>201102</v>
      </c>
      <c r="H482">
        <v>530.98400000000004</v>
      </c>
    </row>
    <row r="483" spans="1:8">
      <c r="A483" s="1">
        <v>40603</v>
      </c>
      <c r="B483" s="2" t="s">
        <v>43</v>
      </c>
      <c r="C483">
        <v>1870.23</v>
      </c>
      <c r="D483">
        <v>3</v>
      </c>
      <c r="E483">
        <v>3</v>
      </c>
      <c r="F483">
        <v>986</v>
      </c>
      <c r="G483">
        <f>YEAR(tbl_kpi_country[[#This Row],[InvoiceMonth]])*100 + MONTH(tbl_kpi_country[[#This Row],[InvoiceMonth]])</f>
        <v>201103</v>
      </c>
      <c r="H483">
        <v>623.41</v>
      </c>
    </row>
    <row r="484" spans="1:8">
      <c r="A484" s="1">
        <v>40634</v>
      </c>
      <c r="B484" s="2" t="s">
        <v>43</v>
      </c>
      <c r="C484">
        <v>2076.94</v>
      </c>
      <c r="D484">
        <v>4</v>
      </c>
      <c r="E484">
        <v>2</v>
      </c>
      <c r="F484">
        <v>886</v>
      </c>
      <c r="G484">
        <f>YEAR(tbl_kpi_country[[#This Row],[InvoiceMonth]])*100 + MONTH(tbl_kpi_country[[#This Row],[InvoiceMonth]])</f>
        <v>201104</v>
      </c>
      <c r="H484">
        <v>519.23500000000001</v>
      </c>
    </row>
    <row r="485" spans="1:8">
      <c r="A485" s="1">
        <v>40664</v>
      </c>
      <c r="B485" s="2" t="s">
        <v>43</v>
      </c>
      <c r="C485">
        <v>3610.0099999999998</v>
      </c>
      <c r="D485">
        <v>3</v>
      </c>
      <c r="E485">
        <v>3</v>
      </c>
      <c r="F485">
        <v>2249</v>
      </c>
      <c r="G485">
        <f>YEAR(tbl_kpi_country[[#This Row],[InvoiceMonth]])*100 + MONTH(tbl_kpi_country[[#This Row],[InvoiceMonth]])</f>
        <v>201105</v>
      </c>
      <c r="H485">
        <v>1203.3366666666666</v>
      </c>
    </row>
    <row r="486" spans="1:8">
      <c r="A486" s="1">
        <v>40695</v>
      </c>
      <c r="B486" s="2" t="s">
        <v>43</v>
      </c>
      <c r="C486">
        <v>7904.15</v>
      </c>
      <c r="D486">
        <v>4</v>
      </c>
      <c r="E486">
        <v>4</v>
      </c>
      <c r="F486">
        <v>3970</v>
      </c>
      <c r="G486">
        <f>YEAR(tbl_kpi_country[[#This Row],[InvoiceMonth]])*100 + MONTH(tbl_kpi_country[[#This Row],[InvoiceMonth]])</f>
        <v>201106</v>
      </c>
      <c r="H486">
        <v>1976.0374999999999</v>
      </c>
    </row>
    <row r="487" spans="1:8">
      <c r="A487" s="1">
        <v>40725</v>
      </c>
      <c r="B487" s="2" t="s">
        <v>43</v>
      </c>
      <c r="C487">
        <v>3762.65</v>
      </c>
      <c r="D487">
        <v>5</v>
      </c>
      <c r="E487">
        <v>4</v>
      </c>
      <c r="F487">
        <v>1615</v>
      </c>
      <c r="G487">
        <f>YEAR(tbl_kpi_country[[#This Row],[InvoiceMonth]])*100 + MONTH(tbl_kpi_country[[#This Row],[InvoiceMonth]])</f>
        <v>201107</v>
      </c>
      <c r="H487">
        <v>752.53</v>
      </c>
    </row>
    <row r="488" spans="1:8">
      <c r="A488" s="1">
        <v>40756</v>
      </c>
      <c r="B488" s="2" t="s">
        <v>43</v>
      </c>
      <c r="C488">
        <v>4969.8900000000003</v>
      </c>
      <c r="D488">
        <v>3</v>
      </c>
      <c r="E488">
        <v>3</v>
      </c>
      <c r="F488">
        <v>2998</v>
      </c>
      <c r="G488">
        <f>YEAR(tbl_kpi_country[[#This Row],[InvoiceMonth]])*100 + MONTH(tbl_kpi_country[[#This Row],[InvoiceMonth]])</f>
        <v>201108</v>
      </c>
      <c r="H488">
        <v>1656.63</v>
      </c>
    </row>
    <row r="489" spans="1:8">
      <c r="A489" s="1">
        <v>40787</v>
      </c>
      <c r="B489" s="2" t="s">
        <v>43</v>
      </c>
      <c r="C489">
        <v>8284.86</v>
      </c>
      <c r="D489">
        <v>7</v>
      </c>
      <c r="E489">
        <v>5</v>
      </c>
      <c r="F489">
        <v>4255</v>
      </c>
      <c r="G489">
        <f>YEAR(tbl_kpi_country[[#This Row],[InvoiceMonth]])*100 + MONTH(tbl_kpi_country[[#This Row],[InvoiceMonth]])</f>
        <v>201109</v>
      </c>
      <c r="H489">
        <v>1183.5514285714287</v>
      </c>
    </row>
    <row r="490" spans="1:8">
      <c r="A490" s="1">
        <v>40817</v>
      </c>
      <c r="B490" s="2" t="s">
        <v>43</v>
      </c>
      <c r="C490">
        <v>7655.19</v>
      </c>
      <c r="D490">
        <v>6</v>
      </c>
      <c r="E490">
        <v>5</v>
      </c>
      <c r="F490">
        <v>4532</v>
      </c>
      <c r="G490">
        <f>YEAR(tbl_kpi_country[[#This Row],[InvoiceMonth]])*100 + MONTH(tbl_kpi_country[[#This Row],[InvoiceMonth]])</f>
        <v>201110</v>
      </c>
      <c r="H490">
        <v>1275.865</v>
      </c>
    </row>
    <row r="491" spans="1:8">
      <c r="A491" s="1">
        <v>40848</v>
      </c>
      <c r="B491" s="2" t="s">
        <v>43</v>
      </c>
      <c r="C491">
        <v>8118.96</v>
      </c>
      <c r="D491">
        <v>6</v>
      </c>
      <c r="E491">
        <v>4</v>
      </c>
      <c r="F491">
        <v>3777</v>
      </c>
      <c r="G491">
        <f>YEAR(tbl_kpi_country[[#This Row],[InvoiceMonth]])*100 + MONTH(tbl_kpi_country[[#This Row],[InvoiceMonth]])</f>
        <v>201111</v>
      </c>
      <c r="H491">
        <v>1353.16</v>
      </c>
    </row>
    <row r="492" spans="1:8">
      <c r="A492" s="1">
        <v>40330</v>
      </c>
      <c r="B492" s="2" t="s">
        <v>44</v>
      </c>
      <c r="C492">
        <v>1956.84</v>
      </c>
      <c r="D492">
        <v>1</v>
      </c>
      <c r="E492">
        <v>1</v>
      </c>
      <c r="F492">
        <v>2028</v>
      </c>
      <c r="G492">
        <f>YEAR(tbl_kpi_country[[#This Row],[InvoiceMonth]])*100 + MONTH(tbl_kpi_country[[#This Row],[InvoiceMonth]])</f>
        <v>201006</v>
      </c>
      <c r="H492">
        <v>1956.84</v>
      </c>
    </row>
    <row r="493" spans="1:8">
      <c r="A493" s="1">
        <v>40360</v>
      </c>
      <c r="B493" s="2" t="s">
        <v>44</v>
      </c>
      <c r="C493">
        <v>1113.7</v>
      </c>
      <c r="D493">
        <v>1</v>
      </c>
      <c r="E493">
        <v>1</v>
      </c>
      <c r="F493">
        <v>524</v>
      </c>
      <c r="G493">
        <f>YEAR(tbl_kpi_country[[#This Row],[InvoiceMonth]])*100 + MONTH(tbl_kpi_country[[#This Row],[InvoiceMonth]])</f>
        <v>201007</v>
      </c>
      <c r="H493">
        <v>1113.7</v>
      </c>
    </row>
    <row r="494" spans="1:8">
      <c r="A494" s="1">
        <v>40148</v>
      </c>
      <c r="B494" s="2" t="s">
        <v>45</v>
      </c>
      <c r="C494">
        <v>141</v>
      </c>
      <c r="D494">
        <v>1</v>
      </c>
      <c r="E494">
        <v>1</v>
      </c>
      <c r="F494">
        <v>1</v>
      </c>
      <c r="G494">
        <f>YEAR(tbl_kpi_country[[#This Row],[InvoiceMonth]])*100 + MONTH(tbl_kpi_country[[#This Row],[InvoiceMonth]])</f>
        <v>200912</v>
      </c>
      <c r="H494">
        <v>141</v>
      </c>
    </row>
    <row r="495" spans="1:8">
      <c r="A495" s="1">
        <v>40179</v>
      </c>
      <c r="B495" s="2" t="s">
        <v>45</v>
      </c>
      <c r="C495">
        <v>2289.59</v>
      </c>
      <c r="D495">
        <v>5</v>
      </c>
      <c r="E495">
        <v>2</v>
      </c>
      <c r="F495">
        <v>1344</v>
      </c>
      <c r="G495">
        <f>YEAR(tbl_kpi_country[[#This Row],[InvoiceMonth]])*100 + MONTH(tbl_kpi_country[[#This Row],[InvoiceMonth]])</f>
        <v>201001</v>
      </c>
      <c r="H495">
        <v>457.91800000000001</v>
      </c>
    </row>
    <row r="496" spans="1:8">
      <c r="A496" s="1">
        <v>40299</v>
      </c>
      <c r="B496" s="2" t="s">
        <v>45</v>
      </c>
      <c r="C496">
        <v>416.31</v>
      </c>
      <c r="D496">
        <v>2</v>
      </c>
      <c r="E496">
        <v>1</v>
      </c>
      <c r="F496">
        <v>413</v>
      </c>
      <c r="G496">
        <f>YEAR(tbl_kpi_country[[#This Row],[InvoiceMonth]])*100 + MONTH(tbl_kpi_country[[#This Row],[InvoiceMonth]])</f>
        <v>201005</v>
      </c>
      <c r="H496">
        <v>208.155</v>
      </c>
    </row>
    <row r="497" spans="1:8">
      <c r="A497" s="1">
        <v>40330</v>
      </c>
      <c r="B497" s="2" t="s">
        <v>45</v>
      </c>
      <c r="C497">
        <v>896.06999999999994</v>
      </c>
      <c r="D497">
        <v>4</v>
      </c>
      <c r="E497">
        <v>2</v>
      </c>
      <c r="F497">
        <v>551</v>
      </c>
      <c r="G497">
        <f>YEAR(tbl_kpi_country[[#This Row],[InvoiceMonth]])*100 + MONTH(tbl_kpi_country[[#This Row],[InvoiceMonth]])</f>
        <v>201006</v>
      </c>
      <c r="H497">
        <v>224.01749999999998</v>
      </c>
    </row>
    <row r="498" spans="1:8">
      <c r="A498" s="1">
        <v>40360</v>
      </c>
      <c r="B498" s="2" t="s">
        <v>45</v>
      </c>
      <c r="C498">
        <v>508.1</v>
      </c>
      <c r="D498">
        <v>1</v>
      </c>
      <c r="E498">
        <v>1</v>
      </c>
      <c r="F498">
        <v>134</v>
      </c>
      <c r="G498">
        <f>YEAR(tbl_kpi_country[[#This Row],[InvoiceMonth]])*100 + MONTH(tbl_kpi_country[[#This Row],[InvoiceMonth]])</f>
        <v>201007</v>
      </c>
      <c r="H498">
        <v>508.1</v>
      </c>
    </row>
    <row r="499" spans="1:8">
      <c r="A499" s="1">
        <v>40452</v>
      </c>
      <c r="B499" s="2" t="s">
        <v>45</v>
      </c>
      <c r="C499">
        <v>132.80000000000001</v>
      </c>
      <c r="D499">
        <v>1</v>
      </c>
      <c r="E499">
        <v>1</v>
      </c>
      <c r="F499">
        <v>129</v>
      </c>
      <c r="G499">
        <f>YEAR(tbl_kpi_country[[#This Row],[InvoiceMonth]])*100 + MONTH(tbl_kpi_country[[#This Row],[InvoiceMonth]])</f>
        <v>201010</v>
      </c>
      <c r="H499">
        <v>132.80000000000001</v>
      </c>
    </row>
    <row r="500" spans="1:8">
      <c r="A500" s="1">
        <v>40483</v>
      </c>
      <c r="B500" s="2" t="s">
        <v>45</v>
      </c>
      <c r="C500">
        <v>402.59999999999997</v>
      </c>
      <c r="D500">
        <v>1</v>
      </c>
      <c r="E500">
        <v>1</v>
      </c>
      <c r="F500">
        <v>234</v>
      </c>
      <c r="G500">
        <f>YEAR(tbl_kpi_country[[#This Row],[InvoiceMonth]])*100 + MONTH(tbl_kpi_country[[#This Row],[InvoiceMonth]])</f>
        <v>201011</v>
      </c>
      <c r="H500">
        <v>402.59999999999997</v>
      </c>
    </row>
    <row r="501" spans="1:8">
      <c r="A501" s="1">
        <v>40634</v>
      </c>
      <c r="B501" s="2" t="s">
        <v>45</v>
      </c>
      <c r="C501">
        <v>383.95</v>
      </c>
      <c r="D501">
        <v>1</v>
      </c>
      <c r="E501">
        <v>1</v>
      </c>
      <c r="F501">
        <v>137</v>
      </c>
      <c r="G501">
        <f>YEAR(tbl_kpi_country[[#This Row],[InvoiceMonth]])*100 + MONTH(tbl_kpi_country[[#This Row],[InvoiceMonth]])</f>
        <v>201104</v>
      </c>
      <c r="H501">
        <v>383.95</v>
      </c>
    </row>
    <row r="502" spans="1:8">
      <c r="A502" s="1">
        <v>40817</v>
      </c>
      <c r="B502" s="2" t="s">
        <v>45</v>
      </c>
      <c r="C502">
        <v>2311.1999999999998</v>
      </c>
      <c r="D502">
        <v>2</v>
      </c>
      <c r="E502">
        <v>2</v>
      </c>
      <c r="F502">
        <v>1717</v>
      </c>
      <c r="G502">
        <f>YEAR(tbl_kpi_country[[#This Row],[InvoiceMonth]])*100 + MONTH(tbl_kpi_country[[#This Row],[InvoiceMonth]])</f>
        <v>201110</v>
      </c>
      <c r="H502">
        <v>1155.5999999999999</v>
      </c>
    </row>
    <row r="503" spans="1:8">
      <c r="A503" s="1">
        <v>40878</v>
      </c>
      <c r="B503" s="2" t="s">
        <v>45</v>
      </c>
      <c r="C503">
        <v>885.24</v>
      </c>
      <c r="D503">
        <v>2</v>
      </c>
      <c r="E503">
        <v>2</v>
      </c>
      <c r="F503">
        <v>604</v>
      </c>
      <c r="G503">
        <f>YEAR(tbl_kpi_country[[#This Row],[InvoiceMonth]])*100 + MONTH(tbl_kpi_country[[#This Row],[InvoiceMonth]])</f>
        <v>201112</v>
      </c>
      <c r="H503">
        <v>442.62</v>
      </c>
    </row>
    <row r="504" spans="1:8">
      <c r="A504" s="1">
        <v>40148</v>
      </c>
      <c r="B504" s="2" t="s">
        <v>46</v>
      </c>
      <c r="C504">
        <v>517.70000000000005</v>
      </c>
      <c r="D504">
        <v>1</v>
      </c>
      <c r="E504">
        <v>1</v>
      </c>
      <c r="F504">
        <v>520</v>
      </c>
      <c r="G504">
        <f>YEAR(tbl_kpi_country[[#This Row],[InvoiceMonth]])*100 + MONTH(tbl_kpi_country[[#This Row],[InvoiceMonth]])</f>
        <v>200912</v>
      </c>
      <c r="H504">
        <v>517.70000000000005</v>
      </c>
    </row>
    <row r="505" spans="1:8">
      <c r="A505" s="1">
        <v>40210</v>
      </c>
      <c r="B505" s="2" t="s">
        <v>46</v>
      </c>
      <c r="C505">
        <v>1310.3000000000002</v>
      </c>
      <c r="D505">
        <v>1</v>
      </c>
      <c r="E505">
        <v>1</v>
      </c>
      <c r="F505">
        <v>798</v>
      </c>
      <c r="G505">
        <f>YEAR(tbl_kpi_country[[#This Row],[InvoiceMonth]])*100 + MONTH(tbl_kpi_country[[#This Row],[InvoiceMonth]])</f>
        <v>201002</v>
      </c>
      <c r="H505">
        <v>1310.3000000000002</v>
      </c>
    </row>
    <row r="506" spans="1:8">
      <c r="A506" s="1">
        <v>40238</v>
      </c>
      <c r="B506" s="2" t="s">
        <v>46</v>
      </c>
      <c r="C506">
        <v>1201.52</v>
      </c>
      <c r="D506">
        <v>1</v>
      </c>
      <c r="E506">
        <v>1</v>
      </c>
      <c r="F506">
        <v>1359</v>
      </c>
      <c r="G506">
        <f>YEAR(tbl_kpi_country[[#This Row],[InvoiceMonth]])*100 + MONTH(tbl_kpi_country[[#This Row],[InvoiceMonth]])</f>
        <v>201003</v>
      </c>
      <c r="H506">
        <v>1201.52</v>
      </c>
    </row>
    <row r="507" spans="1:8">
      <c r="A507" s="1">
        <v>40391</v>
      </c>
      <c r="B507" s="2" t="s">
        <v>46</v>
      </c>
      <c r="C507">
        <v>2047.28</v>
      </c>
      <c r="D507">
        <v>1</v>
      </c>
      <c r="E507">
        <v>1</v>
      </c>
      <c r="F507">
        <v>1364</v>
      </c>
      <c r="G507">
        <f>YEAR(tbl_kpi_country[[#This Row],[InvoiceMonth]])*100 + MONTH(tbl_kpi_country[[#This Row],[InvoiceMonth]])</f>
        <v>201008</v>
      </c>
      <c r="H507">
        <v>2047.28</v>
      </c>
    </row>
    <row r="508" spans="1:8">
      <c r="A508" s="1">
        <v>40452</v>
      </c>
      <c r="B508" s="2" t="s">
        <v>46</v>
      </c>
      <c r="C508">
        <v>509.92</v>
      </c>
      <c r="D508">
        <v>2</v>
      </c>
      <c r="E508">
        <v>1</v>
      </c>
      <c r="F508">
        <v>351</v>
      </c>
      <c r="G508">
        <f>YEAR(tbl_kpi_country[[#This Row],[InvoiceMonth]])*100 + MONTH(tbl_kpi_country[[#This Row],[InvoiceMonth]])</f>
        <v>201010</v>
      </c>
      <c r="H508">
        <v>254.96</v>
      </c>
    </row>
    <row r="509" spans="1:8">
      <c r="A509" s="1">
        <v>40483</v>
      </c>
      <c r="B509" s="2" t="s">
        <v>46</v>
      </c>
      <c r="C509">
        <v>1713.69</v>
      </c>
      <c r="D509">
        <v>2</v>
      </c>
      <c r="E509">
        <v>1</v>
      </c>
      <c r="F509">
        <v>465</v>
      </c>
      <c r="G509">
        <f>YEAR(tbl_kpi_country[[#This Row],[InvoiceMonth]])*100 + MONTH(tbl_kpi_country[[#This Row],[InvoiceMonth]])</f>
        <v>201011</v>
      </c>
      <c r="H509">
        <v>856.84500000000003</v>
      </c>
    </row>
    <row r="510" spans="1:8">
      <c r="A510" s="1">
        <v>40575</v>
      </c>
      <c r="B510" s="2" t="s">
        <v>46</v>
      </c>
      <c r="C510">
        <v>889.24</v>
      </c>
      <c r="D510">
        <v>1</v>
      </c>
      <c r="E510">
        <v>1</v>
      </c>
      <c r="F510">
        <v>496</v>
      </c>
      <c r="G510">
        <f>YEAR(tbl_kpi_country[[#This Row],[InvoiceMonth]])*100 + MONTH(tbl_kpi_country[[#This Row],[InvoiceMonth]])</f>
        <v>201102</v>
      </c>
      <c r="H510">
        <v>889.24</v>
      </c>
    </row>
    <row r="511" spans="1:8">
      <c r="A511" s="1">
        <v>40787</v>
      </c>
      <c r="B511" s="2" t="s">
        <v>46</v>
      </c>
      <c r="C511">
        <v>1013.04</v>
      </c>
      <c r="D511">
        <v>2</v>
      </c>
      <c r="E511">
        <v>1</v>
      </c>
      <c r="F511">
        <v>486</v>
      </c>
      <c r="G511">
        <f>YEAR(tbl_kpi_country[[#This Row],[InvoiceMonth]])*100 + MONTH(tbl_kpi_country[[#This Row],[InvoiceMonth]])</f>
        <v>201109</v>
      </c>
      <c r="H511">
        <v>506.52</v>
      </c>
    </row>
    <row r="512" spans="1:8">
      <c r="A512" s="1">
        <v>40148</v>
      </c>
      <c r="B512" s="2" t="s">
        <v>47</v>
      </c>
      <c r="C512">
        <v>610346.63</v>
      </c>
      <c r="D512">
        <v>1429</v>
      </c>
      <c r="E512">
        <v>904</v>
      </c>
      <c r="F512">
        <v>360350</v>
      </c>
      <c r="G512">
        <f>YEAR(tbl_kpi_country[[#This Row],[InvoiceMonth]])*100 + MONTH(tbl_kpi_country[[#This Row],[InvoiceMonth]])</f>
        <v>200912</v>
      </c>
      <c r="H512">
        <v>427.1145066480056</v>
      </c>
    </row>
    <row r="513" spans="1:8">
      <c r="A513" s="1">
        <v>40179</v>
      </c>
      <c r="B513" s="2" t="s">
        <v>47</v>
      </c>
      <c r="C513">
        <v>415120.50199999998</v>
      </c>
      <c r="D513">
        <v>906</v>
      </c>
      <c r="E513">
        <v>663</v>
      </c>
      <c r="F513">
        <v>236118</v>
      </c>
      <c r="G513">
        <f>YEAR(tbl_kpi_country[[#This Row],[InvoiceMonth]])*100 + MONTH(tbl_kpi_country[[#This Row],[InvoiceMonth]])</f>
        <v>201001</v>
      </c>
      <c r="H513">
        <v>458.19039955849888</v>
      </c>
    </row>
    <row r="514" spans="1:8">
      <c r="A514" s="1">
        <v>40210</v>
      </c>
      <c r="B514" s="2" t="s">
        <v>47</v>
      </c>
      <c r="C514">
        <v>409265.826</v>
      </c>
      <c r="D514">
        <v>1001</v>
      </c>
      <c r="E514">
        <v>713</v>
      </c>
      <c r="F514">
        <v>234173</v>
      </c>
      <c r="G514">
        <f>YEAR(tbl_kpi_country[[#This Row],[InvoiceMonth]])*100 + MONTH(tbl_kpi_country[[#This Row],[InvoiceMonth]])</f>
        <v>201002</v>
      </c>
      <c r="H514">
        <v>408.85696903096903</v>
      </c>
    </row>
    <row r="515" spans="1:8">
      <c r="A515" s="1">
        <v>40238</v>
      </c>
      <c r="B515" s="2" t="s">
        <v>47</v>
      </c>
      <c r="C515">
        <v>587165.94099999999</v>
      </c>
      <c r="D515">
        <v>1396</v>
      </c>
      <c r="E515">
        <v>984</v>
      </c>
      <c r="F515">
        <v>384039</v>
      </c>
      <c r="G515">
        <f>YEAR(tbl_kpi_country[[#This Row],[InvoiceMonth]])*100 + MONTH(tbl_kpi_country[[#This Row],[InvoiceMonth]])</f>
        <v>201003</v>
      </c>
      <c r="H515">
        <v>420.60597492836678</v>
      </c>
    </row>
    <row r="516" spans="1:8">
      <c r="A516" s="1">
        <v>40269</v>
      </c>
      <c r="B516" s="2" t="s">
        <v>47</v>
      </c>
      <c r="C516">
        <v>500798.55099999998</v>
      </c>
      <c r="D516">
        <v>1222</v>
      </c>
      <c r="E516">
        <v>876</v>
      </c>
      <c r="F516">
        <v>290254</v>
      </c>
      <c r="G516">
        <f>YEAR(tbl_kpi_country[[#This Row],[InvoiceMonth]])*100 + MONTH(tbl_kpi_country[[#This Row],[InvoiceMonth]])</f>
        <v>201004</v>
      </c>
      <c r="H516">
        <v>409.81878150572828</v>
      </c>
    </row>
    <row r="517" spans="1:8">
      <c r="A517" s="1">
        <v>40299</v>
      </c>
      <c r="B517" s="2" t="s">
        <v>47</v>
      </c>
      <c r="C517">
        <v>501394.56</v>
      </c>
      <c r="D517">
        <v>1270</v>
      </c>
      <c r="E517">
        <v>901</v>
      </c>
      <c r="F517">
        <v>326996</v>
      </c>
      <c r="G517">
        <f>YEAR(tbl_kpi_country[[#This Row],[InvoiceMonth]])*100 + MONTH(tbl_kpi_country[[#This Row],[InvoiceMonth]])</f>
        <v>201005</v>
      </c>
      <c r="H517">
        <v>394.79886614173228</v>
      </c>
    </row>
    <row r="518" spans="1:8">
      <c r="A518" s="1">
        <v>40330</v>
      </c>
      <c r="B518" s="2" t="s">
        <v>47</v>
      </c>
      <c r="C518">
        <v>538672.61</v>
      </c>
      <c r="D518">
        <v>1377</v>
      </c>
      <c r="E518">
        <v>968</v>
      </c>
      <c r="F518">
        <v>331496</v>
      </c>
      <c r="G518">
        <f>YEAR(tbl_kpi_country[[#This Row],[InvoiceMonth]])*100 + MONTH(tbl_kpi_country[[#This Row],[InvoiceMonth]])</f>
        <v>201006</v>
      </c>
      <c r="H518">
        <v>391.19289034132169</v>
      </c>
    </row>
    <row r="519" spans="1:8">
      <c r="A519" s="1">
        <v>40360</v>
      </c>
      <c r="B519" s="2" t="s">
        <v>47</v>
      </c>
      <c r="C519">
        <v>502350</v>
      </c>
      <c r="D519">
        <v>1272</v>
      </c>
      <c r="E519">
        <v>856</v>
      </c>
      <c r="F519">
        <v>279812</v>
      </c>
      <c r="G519">
        <f>YEAR(tbl_kpi_country[[#This Row],[InvoiceMonth]])*100 + MONTH(tbl_kpi_country[[#This Row],[InvoiceMonth]])</f>
        <v>201007</v>
      </c>
      <c r="H519">
        <v>394.92924528301887</v>
      </c>
    </row>
    <row r="520" spans="1:8">
      <c r="A520" s="1">
        <v>40391</v>
      </c>
      <c r="B520" s="2" t="s">
        <v>47</v>
      </c>
      <c r="C520">
        <v>506470.04</v>
      </c>
      <c r="D520">
        <v>1193</v>
      </c>
      <c r="E520">
        <v>849</v>
      </c>
      <c r="F520">
        <v>313328</v>
      </c>
      <c r="G520">
        <f>YEAR(tbl_kpi_country[[#This Row],[InvoiceMonth]])*100 + MONTH(tbl_kpi_country[[#This Row],[InvoiceMonth]])</f>
        <v>201008</v>
      </c>
      <c r="H520">
        <v>424.53481978206202</v>
      </c>
    </row>
    <row r="521" spans="1:8">
      <c r="A521" s="1">
        <v>40422</v>
      </c>
      <c r="B521" s="2" t="s">
        <v>47</v>
      </c>
      <c r="C521">
        <v>679069.92099999997</v>
      </c>
      <c r="D521">
        <v>1515</v>
      </c>
      <c r="E521">
        <v>1048</v>
      </c>
      <c r="F521">
        <v>478908</v>
      </c>
      <c r="G521">
        <f>YEAR(tbl_kpi_country[[#This Row],[InvoiceMonth]])*100 + MONTH(tbl_kpi_country[[#This Row],[InvoiceMonth]])</f>
        <v>201009</v>
      </c>
      <c r="H521">
        <v>448.23097095709568</v>
      </c>
    </row>
    <row r="522" spans="1:8">
      <c r="A522" s="1">
        <v>40452</v>
      </c>
      <c r="B522" s="2" t="s">
        <v>47</v>
      </c>
      <c r="C522">
        <v>875722.88</v>
      </c>
      <c r="D522">
        <v>1941</v>
      </c>
      <c r="E522">
        <v>1379</v>
      </c>
      <c r="F522">
        <v>503353</v>
      </c>
      <c r="G522">
        <f>YEAR(tbl_kpi_country[[#This Row],[InvoiceMonth]])*100 + MONTH(tbl_kpi_country[[#This Row],[InvoiceMonth]])</f>
        <v>201010</v>
      </c>
      <c r="H522">
        <v>451.17098402885114</v>
      </c>
    </row>
    <row r="523" spans="1:8">
      <c r="A523" s="1">
        <v>40483</v>
      </c>
      <c r="B523" s="2" t="s">
        <v>47</v>
      </c>
      <c r="C523">
        <v>977832.81200000003</v>
      </c>
      <c r="D523">
        <v>2373</v>
      </c>
      <c r="E523">
        <v>1486</v>
      </c>
      <c r="F523">
        <v>552279</v>
      </c>
      <c r="G523">
        <f>YEAR(tbl_kpi_country[[#This Row],[InvoiceMonth]])*100 + MONTH(tbl_kpi_country[[#This Row],[InvoiceMonth]])</f>
        <v>201011</v>
      </c>
      <c r="H523">
        <v>412.06608175305524</v>
      </c>
    </row>
    <row r="524" spans="1:8">
      <c r="A524" s="1">
        <v>40513</v>
      </c>
      <c r="B524" s="2" t="s">
        <v>47</v>
      </c>
      <c r="C524">
        <v>773911.5</v>
      </c>
      <c r="D524">
        <v>1291</v>
      </c>
      <c r="E524">
        <v>815</v>
      </c>
      <c r="F524">
        <v>405615</v>
      </c>
      <c r="G524">
        <f>YEAR(tbl_kpi_country[[#This Row],[InvoiceMonth]])*100 + MONTH(tbl_kpi_country[[#This Row],[InvoiceMonth]])</f>
        <v>201012</v>
      </c>
      <c r="H524">
        <v>599.46669248644457</v>
      </c>
    </row>
    <row r="525" spans="1:8">
      <c r="A525" s="1">
        <v>40544</v>
      </c>
      <c r="B525" s="2" t="s">
        <v>47</v>
      </c>
      <c r="C525">
        <v>440876.33</v>
      </c>
      <c r="D525">
        <v>874</v>
      </c>
      <c r="E525">
        <v>647</v>
      </c>
      <c r="F525">
        <v>277650</v>
      </c>
      <c r="G525">
        <f>YEAR(tbl_kpi_country[[#This Row],[InvoiceMonth]])*100 + MONTH(tbl_kpi_country[[#This Row],[InvoiceMonth]])</f>
        <v>201101</v>
      </c>
      <c r="H525">
        <v>504.43516018306639</v>
      </c>
    </row>
    <row r="526" spans="1:8">
      <c r="A526" s="1">
        <v>40575</v>
      </c>
      <c r="B526" s="2" t="s">
        <v>47</v>
      </c>
      <c r="C526">
        <v>354618.2</v>
      </c>
      <c r="D526">
        <v>896</v>
      </c>
      <c r="E526">
        <v>679</v>
      </c>
      <c r="F526">
        <v>212792</v>
      </c>
      <c r="G526">
        <f>YEAR(tbl_kpi_country[[#This Row],[InvoiceMonth]])*100 + MONTH(tbl_kpi_country[[#This Row],[InvoiceMonth]])</f>
        <v>201102</v>
      </c>
      <c r="H526">
        <v>395.7792410714286</v>
      </c>
    </row>
    <row r="527" spans="1:8">
      <c r="A527" s="1">
        <v>40603</v>
      </c>
      <c r="B527" s="2" t="s">
        <v>47</v>
      </c>
      <c r="C527">
        <v>465784.19</v>
      </c>
      <c r="D527">
        <v>1177</v>
      </c>
      <c r="E527">
        <v>880</v>
      </c>
      <c r="F527">
        <v>275385</v>
      </c>
      <c r="G527">
        <f>YEAR(tbl_kpi_country[[#This Row],[InvoiceMonth]])*100 + MONTH(tbl_kpi_country[[#This Row],[InvoiceMonth]])</f>
        <v>201103</v>
      </c>
      <c r="H527">
        <v>395.73847918436701</v>
      </c>
    </row>
    <row r="528" spans="1:8">
      <c r="A528" s="1">
        <v>40634</v>
      </c>
      <c r="B528" s="2" t="s">
        <v>47</v>
      </c>
      <c r="C528">
        <v>408733.11099999998</v>
      </c>
      <c r="D528">
        <v>1058</v>
      </c>
      <c r="E528">
        <v>784</v>
      </c>
      <c r="F528">
        <v>259592</v>
      </c>
      <c r="G528">
        <f>YEAR(tbl_kpi_country[[#This Row],[InvoiceMonth]])*100 + MONTH(tbl_kpi_country[[#This Row],[InvoiceMonth]])</f>
        <v>201104</v>
      </c>
      <c r="H528">
        <v>386.32619187145553</v>
      </c>
    </row>
    <row r="529" spans="1:8">
      <c r="A529" s="1">
        <v>40664</v>
      </c>
      <c r="B529" s="2" t="s">
        <v>47</v>
      </c>
      <c r="C529">
        <v>550359.35</v>
      </c>
      <c r="D529">
        <v>1403</v>
      </c>
      <c r="E529">
        <v>962</v>
      </c>
      <c r="F529">
        <v>301113</v>
      </c>
      <c r="G529">
        <f>YEAR(tbl_kpi_country[[#This Row],[InvoiceMonth]])*100 + MONTH(tbl_kpi_country[[#This Row],[InvoiceMonth]])</f>
        <v>201105</v>
      </c>
      <c r="H529">
        <v>392.27323592302207</v>
      </c>
    </row>
    <row r="530" spans="1:8">
      <c r="A530" s="1">
        <v>40695</v>
      </c>
      <c r="B530" s="2" t="s">
        <v>47</v>
      </c>
      <c r="C530">
        <v>523775.59</v>
      </c>
      <c r="D530">
        <v>1249</v>
      </c>
      <c r="E530">
        <v>889</v>
      </c>
      <c r="F530">
        <v>280321</v>
      </c>
      <c r="G530">
        <f>YEAR(tbl_kpi_country[[#This Row],[InvoiceMonth]])*100 + MONTH(tbl_kpi_country[[#This Row],[InvoiceMonth]])</f>
        <v>201106</v>
      </c>
      <c r="H530">
        <v>419.35595676541237</v>
      </c>
    </row>
    <row r="531" spans="1:8">
      <c r="A531" s="1">
        <v>40725</v>
      </c>
      <c r="B531" s="2" t="s">
        <v>47</v>
      </c>
      <c r="C531">
        <v>484545.59100000001</v>
      </c>
      <c r="D531">
        <v>1200</v>
      </c>
      <c r="E531">
        <v>859</v>
      </c>
      <c r="F531">
        <v>301552</v>
      </c>
      <c r="G531">
        <f>YEAR(tbl_kpi_country[[#This Row],[InvoiceMonth]])*100 + MONTH(tbl_kpi_country[[#This Row],[InvoiceMonth]])</f>
        <v>201107</v>
      </c>
      <c r="H531">
        <v>403.78799250000003</v>
      </c>
    </row>
    <row r="532" spans="1:8">
      <c r="A532" s="1">
        <v>40756</v>
      </c>
      <c r="B532" s="2" t="s">
        <v>47</v>
      </c>
      <c r="C532">
        <v>497194.91000000003</v>
      </c>
      <c r="D532">
        <v>1133</v>
      </c>
      <c r="E532">
        <v>834</v>
      </c>
      <c r="F532">
        <v>310101</v>
      </c>
      <c r="G532">
        <f>YEAR(tbl_kpi_country[[#This Row],[InvoiceMonth]])*100 + MONTH(tbl_kpi_country[[#This Row],[InvoiceMonth]])</f>
        <v>201108</v>
      </c>
      <c r="H532">
        <v>438.83045895851723</v>
      </c>
    </row>
    <row r="533" spans="1:8">
      <c r="A533" s="1">
        <v>40787</v>
      </c>
      <c r="B533" s="2" t="s">
        <v>47</v>
      </c>
      <c r="C533">
        <v>794806.69200000004</v>
      </c>
      <c r="D533">
        <v>1568</v>
      </c>
      <c r="E533">
        <v>1146</v>
      </c>
      <c r="F533">
        <v>453420</v>
      </c>
      <c r="G533">
        <f>YEAR(tbl_kpi_country[[#This Row],[InvoiceMonth]])*100 + MONTH(tbl_kpi_country[[#This Row],[InvoiceMonth]])</f>
        <v>201109</v>
      </c>
      <c r="H533">
        <v>506.89202295918369</v>
      </c>
    </row>
    <row r="534" spans="1:8">
      <c r="A534" s="1">
        <v>40817</v>
      </c>
      <c r="B534" s="2" t="s">
        <v>47</v>
      </c>
      <c r="C534">
        <v>821220.13</v>
      </c>
      <c r="D534">
        <v>1705</v>
      </c>
      <c r="E534">
        <v>1230</v>
      </c>
      <c r="F534">
        <v>474668</v>
      </c>
      <c r="G534">
        <f>YEAR(tbl_kpi_country[[#This Row],[InvoiceMonth]])*100 + MONTH(tbl_kpi_country[[#This Row],[InvoiceMonth]])</f>
        <v>201110</v>
      </c>
      <c r="H534">
        <v>481.65403519061584</v>
      </c>
    </row>
    <row r="535" spans="1:8">
      <c r="A535" s="1">
        <v>40848</v>
      </c>
      <c r="B535" s="2" t="s">
        <v>47</v>
      </c>
      <c r="C535">
        <v>975251.39</v>
      </c>
      <c r="D535">
        <v>2386</v>
      </c>
      <c r="E535">
        <v>1505</v>
      </c>
      <c r="F535">
        <v>568167</v>
      </c>
      <c r="G535">
        <f>YEAR(tbl_kpi_country[[#This Row],[InvoiceMonth]])*100 + MONTH(tbl_kpi_country[[#This Row],[InvoiceMonth]])</f>
        <v>201111</v>
      </c>
      <c r="H535">
        <v>408.73905699916179</v>
      </c>
    </row>
    <row r="536" spans="1:8">
      <c r="A536" s="1">
        <v>40878</v>
      </c>
      <c r="B536" s="2" t="s">
        <v>47</v>
      </c>
      <c r="C536">
        <v>471381.82</v>
      </c>
      <c r="D536">
        <v>706</v>
      </c>
      <c r="E536">
        <v>560</v>
      </c>
      <c r="F536">
        <v>259971</v>
      </c>
      <c r="G536">
        <f>YEAR(tbl_kpi_country[[#This Row],[InvoiceMonth]])*100 + MONTH(tbl_kpi_country[[#This Row],[InvoiceMonth]])</f>
        <v>201112</v>
      </c>
      <c r="H536">
        <v>667.67963172804536</v>
      </c>
    </row>
    <row r="537" spans="1:8">
      <c r="A537" s="1">
        <v>40179</v>
      </c>
      <c r="B537" s="2" t="s">
        <v>48</v>
      </c>
      <c r="C537">
        <v>1035.0999999999999</v>
      </c>
      <c r="D537">
        <v>2</v>
      </c>
      <c r="E537">
        <v>2</v>
      </c>
      <c r="F537">
        <v>382</v>
      </c>
      <c r="G537">
        <f>YEAR(tbl_kpi_country[[#This Row],[InvoiceMonth]])*100 + MONTH(tbl_kpi_country[[#This Row],[InvoiceMonth]])</f>
        <v>201001</v>
      </c>
      <c r="H537">
        <v>517.54999999999995</v>
      </c>
    </row>
    <row r="538" spans="1:8">
      <c r="A538" s="1">
        <v>40269</v>
      </c>
      <c r="B538" s="2" t="s">
        <v>48</v>
      </c>
      <c r="C538">
        <v>252.51999999999998</v>
      </c>
      <c r="D538">
        <v>1</v>
      </c>
      <c r="E538">
        <v>1</v>
      </c>
      <c r="F538">
        <v>153</v>
      </c>
      <c r="G538">
        <f>YEAR(tbl_kpi_country[[#This Row],[InvoiceMonth]])*100 + MONTH(tbl_kpi_country[[#This Row],[InvoiceMonth]])</f>
        <v>201004</v>
      </c>
      <c r="H538">
        <v>252.51999999999998</v>
      </c>
    </row>
    <row r="539" spans="1:8">
      <c r="A539" s="1">
        <v>40360</v>
      </c>
      <c r="B539" s="2" t="s">
        <v>48</v>
      </c>
      <c r="C539">
        <v>2379.88</v>
      </c>
      <c r="D539">
        <v>2</v>
      </c>
      <c r="E539">
        <v>1</v>
      </c>
      <c r="F539">
        <v>1276</v>
      </c>
      <c r="G539">
        <f>YEAR(tbl_kpi_country[[#This Row],[InvoiceMonth]])*100 + MONTH(tbl_kpi_country[[#This Row],[InvoiceMonth]])</f>
        <v>201007</v>
      </c>
      <c r="H539">
        <v>1189.94</v>
      </c>
    </row>
    <row r="540" spans="1:8">
      <c r="A540" s="1">
        <v>40422</v>
      </c>
      <c r="B540" s="2" t="s">
        <v>48</v>
      </c>
      <c r="C540">
        <v>1978.15</v>
      </c>
      <c r="D540">
        <v>2</v>
      </c>
      <c r="E540">
        <v>2</v>
      </c>
      <c r="F540">
        <v>1256</v>
      </c>
      <c r="G540">
        <f>YEAR(tbl_kpi_country[[#This Row],[InvoiceMonth]])*100 + MONTH(tbl_kpi_country[[#This Row],[InvoiceMonth]])</f>
        <v>201009</v>
      </c>
      <c r="H540">
        <v>989.07500000000005</v>
      </c>
    </row>
    <row r="541" spans="1:8">
      <c r="A541" s="1">
        <v>40483</v>
      </c>
      <c r="B541" s="2" t="s">
        <v>48</v>
      </c>
      <c r="C541">
        <v>300.93</v>
      </c>
      <c r="D541">
        <v>1</v>
      </c>
      <c r="E541">
        <v>1</v>
      </c>
      <c r="F541">
        <v>261</v>
      </c>
      <c r="G541">
        <f>YEAR(tbl_kpi_country[[#This Row],[InvoiceMonth]])*100 + MONTH(tbl_kpi_country[[#This Row],[InvoiceMonth]])</f>
        <v>201011</v>
      </c>
      <c r="H541">
        <v>300.93</v>
      </c>
    </row>
    <row r="542" spans="1:8">
      <c r="A542" s="1">
        <v>40634</v>
      </c>
      <c r="B542" s="2" t="s">
        <v>48</v>
      </c>
      <c r="C542">
        <v>299.10000000000002</v>
      </c>
      <c r="D542">
        <v>1</v>
      </c>
      <c r="E542">
        <v>1</v>
      </c>
      <c r="F542">
        <v>282</v>
      </c>
      <c r="G542">
        <f>YEAR(tbl_kpi_country[[#This Row],[InvoiceMonth]])*100 + MONTH(tbl_kpi_country[[#This Row],[InvoiceMonth]])</f>
        <v>201104</v>
      </c>
      <c r="H542">
        <v>299.10000000000002</v>
      </c>
    </row>
    <row r="543" spans="1:8">
      <c r="A543" s="1">
        <v>40664</v>
      </c>
      <c r="B543" s="2" t="s">
        <v>48</v>
      </c>
      <c r="C543">
        <v>852.68</v>
      </c>
      <c r="D543">
        <v>1</v>
      </c>
      <c r="E543">
        <v>1</v>
      </c>
      <c r="F543">
        <v>654</v>
      </c>
      <c r="G543">
        <f>YEAR(tbl_kpi_country[[#This Row],[InvoiceMonth]])*100 + MONTH(tbl_kpi_country[[#This Row],[InvoiceMonth]])</f>
        <v>201105</v>
      </c>
      <c r="H543">
        <v>852.68</v>
      </c>
    </row>
    <row r="544" spans="1:8">
      <c r="A544" s="1">
        <v>40695</v>
      </c>
      <c r="B544" s="2" t="s">
        <v>48</v>
      </c>
      <c r="C544">
        <v>185.78</v>
      </c>
      <c r="D544">
        <v>1</v>
      </c>
      <c r="E544">
        <v>1</v>
      </c>
      <c r="F544">
        <v>78</v>
      </c>
      <c r="G544">
        <f>YEAR(tbl_kpi_country[[#This Row],[InvoiceMonth]])*100 + MONTH(tbl_kpi_country[[#This Row],[InvoiceMonth]])</f>
        <v>201106</v>
      </c>
      <c r="H544">
        <v>185.78</v>
      </c>
    </row>
    <row r="545" spans="1:8">
      <c r="A545" s="1">
        <v>40725</v>
      </c>
      <c r="B545" s="2" t="s">
        <v>48</v>
      </c>
      <c r="C545">
        <v>792.18</v>
      </c>
      <c r="D545">
        <v>3</v>
      </c>
      <c r="E545">
        <v>2</v>
      </c>
      <c r="F545">
        <v>586</v>
      </c>
      <c r="G545">
        <f>YEAR(tbl_kpi_country[[#This Row],[InvoiceMonth]])*100 + MONTH(tbl_kpi_country[[#This Row],[InvoiceMonth]])</f>
        <v>201107</v>
      </c>
      <c r="H545">
        <v>264.06</v>
      </c>
    </row>
    <row r="546" spans="1:8">
      <c r="A546" s="1">
        <v>40756</v>
      </c>
      <c r="B546" s="2" t="s">
        <v>48</v>
      </c>
      <c r="C546">
        <v>531.03</v>
      </c>
      <c r="D546">
        <v>2</v>
      </c>
      <c r="E546">
        <v>2</v>
      </c>
      <c r="F546">
        <v>185</v>
      </c>
      <c r="G546">
        <f>YEAR(tbl_kpi_country[[#This Row],[InvoiceMonth]])*100 + MONTH(tbl_kpi_country[[#This Row],[InvoiceMonth]])</f>
        <v>201108</v>
      </c>
      <c r="H546">
        <v>265.51499999999999</v>
      </c>
    </row>
    <row r="547" spans="1:8">
      <c r="A547" s="1">
        <v>40391</v>
      </c>
      <c r="B547" s="2" t="s">
        <v>49</v>
      </c>
      <c r="C547">
        <v>536.41</v>
      </c>
      <c r="D547">
        <v>1</v>
      </c>
      <c r="E547">
        <v>1</v>
      </c>
      <c r="F547">
        <v>395</v>
      </c>
      <c r="G547">
        <f>YEAR(tbl_kpi_country[[#This Row],[InvoiceMonth]])*100 + MONTH(tbl_kpi_country[[#This Row],[InvoiceMonth]])</f>
        <v>201008</v>
      </c>
      <c r="H547">
        <v>536.41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B680E-FE79-4F58-82A1-EE58BEAFCAC2}">
  <dimension ref="A1:I26"/>
  <sheetViews>
    <sheetView workbookViewId="0">
      <selection activeCell="H2" sqref="H2"/>
    </sheetView>
  </sheetViews>
  <sheetFormatPr defaultRowHeight="14.4"/>
  <cols>
    <col min="1" max="1" width="15.109375" bestFit="1" customWidth="1"/>
    <col min="2" max="2" width="12" bestFit="1" customWidth="1"/>
    <col min="3" max="3" width="8.77734375" bestFit="1" customWidth="1"/>
    <col min="4" max="4" width="17.44140625" bestFit="1" customWidth="1"/>
    <col min="5" max="5" width="11.21875" bestFit="1" customWidth="1"/>
    <col min="6" max="6" width="12" bestFit="1" customWidth="1"/>
    <col min="7" max="7" width="23.77734375" bestFit="1" customWidth="1"/>
    <col min="8" max="8" width="23.77734375" customWidth="1"/>
    <col min="9" max="9" width="30.6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65</v>
      </c>
      <c r="I1" t="s">
        <v>7</v>
      </c>
    </row>
    <row r="2" spans="1:9">
      <c r="A2" s="1">
        <v>40148</v>
      </c>
      <c r="B2">
        <v>683504.01</v>
      </c>
      <c r="C2">
        <v>1512</v>
      </c>
      <c r="D2">
        <v>955</v>
      </c>
      <c r="E2">
        <v>398660</v>
      </c>
      <c r="F2">
        <v>452.05291666666665</v>
      </c>
      <c r="H2">
        <f>YEAR(tbl_kpi_monthly[[#This Row],[InvoiceMonth]])*100 + MONTH(tbl_kpi_monthly[[#This Row],[InvoiceMonth]])</f>
        <v>200912</v>
      </c>
    </row>
    <row r="3" spans="1:9">
      <c r="A3" s="1">
        <v>40179</v>
      </c>
      <c r="B3">
        <v>555802.67200000002</v>
      </c>
      <c r="C3">
        <v>1011</v>
      </c>
      <c r="D3">
        <v>720</v>
      </c>
      <c r="E3">
        <v>370082</v>
      </c>
      <c r="F3">
        <v>549.75536300692386</v>
      </c>
      <c r="G3">
        <v>-0.18683334132889728</v>
      </c>
      <c r="H3">
        <f>YEAR(tbl_kpi_monthly[[#This Row],[InvoiceMonth]])*100 + MONTH(tbl_kpi_monthly[[#This Row],[InvoiceMonth]])</f>
        <v>201001</v>
      </c>
      <c r="I3">
        <v>-0.24607329842931935</v>
      </c>
    </row>
    <row r="4" spans="1:9">
      <c r="A4" s="1">
        <v>40210</v>
      </c>
      <c r="B4">
        <v>504558.95600000001</v>
      </c>
      <c r="C4">
        <v>1104</v>
      </c>
      <c r="D4">
        <v>772</v>
      </c>
      <c r="E4">
        <v>371861</v>
      </c>
      <c r="F4">
        <v>457.02803985507245</v>
      </c>
      <c r="G4">
        <v>-9.2197678387555548E-2</v>
      </c>
      <c r="H4">
        <f>YEAR(tbl_kpi_monthly[[#This Row],[InvoiceMonth]])*100 + MONTH(tbl_kpi_monthly[[#This Row],[InvoiceMonth]])</f>
        <v>201002</v>
      </c>
      <c r="I4">
        <v>7.2222222222222188E-2</v>
      </c>
    </row>
    <row r="5" spans="1:9">
      <c r="A5" s="1">
        <v>40238</v>
      </c>
      <c r="B5">
        <v>696978.47100000002</v>
      </c>
      <c r="C5">
        <v>1524</v>
      </c>
      <c r="D5">
        <v>1057</v>
      </c>
      <c r="E5">
        <v>502100</v>
      </c>
      <c r="F5">
        <v>457.33495472440944</v>
      </c>
      <c r="G5">
        <v>0.38136180660719465</v>
      </c>
      <c r="H5">
        <f>YEAR(tbl_kpi_monthly[[#This Row],[InvoiceMonth]])*100 + MONTH(tbl_kpi_monthly[[#This Row],[InvoiceMonth]])</f>
        <v>201003</v>
      </c>
      <c r="I5">
        <v>0.36917098445595853</v>
      </c>
    </row>
    <row r="6" spans="1:9">
      <c r="A6" s="1">
        <v>40269</v>
      </c>
      <c r="B6">
        <v>591982.00199999998</v>
      </c>
      <c r="C6">
        <v>1329</v>
      </c>
      <c r="D6">
        <v>942</v>
      </c>
      <c r="E6">
        <v>350587</v>
      </c>
      <c r="F6">
        <v>445.43416252821669</v>
      </c>
      <c r="G6">
        <v>-0.15064521124928698</v>
      </c>
      <c r="H6">
        <f>YEAR(tbl_kpi_monthly[[#This Row],[InvoiceMonth]])*100 + MONTH(tbl_kpi_monthly[[#This Row],[InvoiceMonth]])</f>
        <v>201004</v>
      </c>
      <c r="I6">
        <v>-0.10879848628193001</v>
      </c>
    </row>
    <row r="7" spans="1:9">
      <c r="A7" s="1">
        <v>40299</v>
      </c>
      <c r="B7">
        <v>597833.38</v>
      </c>
      <c r="C7">
        <v>1377</v>
      </c>
      <c r="D7">
        <v>966</v>
      </c>
      <c r="E7">
        <v>384960</v>
      </c>
      <c r="F7">
        <v>434.15641249092232</v>
      </c>
      <c r="G7">
        <v>9.8843849647982651E-3</v>
      </c>
      <c r="H7">
        <f>YEAR(tbl_kpi_monthly[[#This Row],[InvoiceMonth]])*100 + MONTH(tbl_kpi_monthly[[#This Row],[InvoiceMonth]])</f>
        <v>201005</v>
      </c>
      <c r="I7">
        <v>2.5477707006369421E-2</v>
      </c>
    </row>
    <row r="8" spans="1:9">
      <c r="A8" s="1">
        <v>40330</v>
      </c>
      <c r="B8">
        <v>636371.13</v>
      </c>
      <c r="C8">
        <v>1497</v>
      </c>
      <c r="D8">
        <v>1041</v>
      </c>
      <c r="E8">
        <v>389872</v>
      </c>
      <c r="F8">
        <v>425.09761523046092</v>
      </c>
      <c r="G8">
        <v>6.4462359060646568E-2</v>
      </c>
      <c r="H8">
        <f>YEAR(tbl_kpi_monthly[[#This Row],[InvoiceMonth]])*100 + MONTH(tbl_kpi_monthly[[#This Row],[InvoiceMonth]])</f>
        <v>201006</v>
      </c>
      <c r="I8">
        <v>7.7639751552795122E-2</v>
      </c>
    </row>
    <row r="9" spans="1:9">
      <c r="A9" s="1">
        <v>40360</v>
      </c>
      <c r="B9">
        <v>589736.17000000004</v>
      </c>
      <c r="C9">
        <v>1381</v>
      </c>
      <c r="D9">
        <v>928</v>
      </c>
      <c r="E9">
        <v>324632</v>
      </c>
      <c r="F9">
        <v>427.03560463432297</v>
      </c>
      <c r="G9">
        <v>-7.3282645615931674E-2</v>
      </c>
      <c r="H9">
        <f>YEAR(tbl_kpi_monthly[[#This Row],[InvoiceMonth]])*100 + MONTH(tbl_kpi_monthly[[#This Row],[InvoiceMonth]])</f>
        <v>201007</v>
      </c>
      <c r="I9">
        <v>-0.10854947166186357</v>
      </c>
    </row>
    <row r="10" spans="1:9">
      <c r="A10" s="1">
        <v>40391</v>
      </c>
      <c r="B10">
        <v>602224.6</v>
      </c>
      <c r="C10">
        <v>1293</v>
      </c>
      <c r="D10">
        <v>911</v>
      </c>
      <c r="E10">
        <v>452542</v>
      </c>
      <c r="F10">
        <v>465.75761794276872</v>
      </c>
      <c r="G10">
        <v>2.1176299903734819E-2</v>
      </c>
      <c r="H10">
        <f>YEAR(tbl_kpi_monthly[[#This Row],[InvoiceMonth]])*100 + MONTH(tbl_kpi_monthly[[#This Row],[InvoiceMonth]])</f>
        <v>201008</v>
      </c>
      <c r="I10">
        <v>-1.8318965517241326E-2</v>
      </c>
    </row>
    <row r="11" spans="1:9">
      <c r="A11" s="1">
        <v>40422</v>
      </c>
      <c r="B11">
        <v>829013.951</v>
      </c>
      <c r="C11">
        <v>1689</v>
      </c>
      <c r="D11">
        <v>1145</v>
      </c>
      <c r="E11">
        <v>567153</v>
      </c>
      <c r="F11">
        <v>490.8312320899941</v>
      </c>
      <c r="G11">
        <v>0.37658599632097389</v>
      </c>
      <c r="H11">
        <f>YEAR(tbl_kpi_monthly[[#This Row],[InvoiceMonth]])*100 + MONTH(tbl_kpi_monthly[[#This Row],[InvoiceMonth]])</f>
        <v>201009</v>
      </c>
      <c r="I11">
        <v>0.25686059275521411</v>
      </c>
    </row>
    <row r="12" spans="1:9">
      <c r="A12" s="1">
        <v>40452</v>
      </c>
      <c r="B12">
        <v>1033112.01</v>
      </c>
      <c r="C12">
        <v>2133</v>
      </c>
      <c r="D12">
        <v>1497</v>
      </c>
      <c r="E12">
        <v>596432</v>
      </c>
      <c r="F12">
        <v>484.34693389592127</v>
      </c>
      <c r="G12">
        <v>0.2461937567562118</v>
      </c>
      <c r="H12">
        <f>YEAR(tbl_kpi_monthly[[#This Row],[InvoiceMonth]])*100 + MONTH(tbl_kpi_monthly[[#This Row],[InvoiceMonth]])</f>
        <v>201010</v>
      </c>
      <c r="I12">
        <v>0.30742358078602616</v>
      </c>
    </row>
    <row r="13" spans="1:9">
      <c r="A13" s="1">
        <v>40483</v>
      </c>
      <c r="B13">
        <v>1166460.0220000001</v>
      </c>
      <c r="C13">
        <v>2587</v>
      </c>
      <c r="D13">
        <v>1607</v>
      </c>
      <c r="E13">
        <v>653068</v>
      </c>
      <c r="F13">
        <v>450.89293467336688</v>
      </c>
      <c r="G13">
        <v>0.12907410881807491</v>
      </c>
      <c r="H13">
        <f>YEAR(tbl_kpi_monthly[[#This Row],[InvoiceMonth]])*100 + MONTH(tbl_kpi_monthly[[#This Row],[InvoiceMonth]])</f>
        <v>201011</v>
      </c>
      <c r="I13">
        <v>7.348029392117561E-2</v>
      </c>
    </row>
    <row r="14" spans="1:9">
      <c r="A14" s="1">
        <v>40513</v>
      </c>
      <c r="B14">
        <v>881079.1</v>
      </c>
      <c r="C14">
        <v>1400</v>
      </c>
      <c r="D14">
        <v>885</v>
      </c>
      <c r="E14">
        <v>468677</v>
      </c>
      <c r="F14">
        <v>629.34221428571425</v>
      </c>
      <c r="G14">
        <v>-0.24465555322735277</v>
      </c>
      <c r="H14">
        <f>YEAR(tbl_kpi_monthly[[#This Row],[InvoiceMonth]])*100 + MONTH(tbl_kpi_monthly[[#This Row],[InvoiceMonth]])</f>
        <v>201012</v>
      </c>
      <c r="I14">
        <v>-0.44928438083385192</v>
      </c>
    </row>
    <row r="15" spans="1:9">
      <c r="A15" s="1">
        <v>40544</v>
      </c>
      <c r="B15">
        <v>568101.31000000006</v>
      </c>
      <c r="C15">
        <v>987</v>
      </c>
      <c r="D15">
        <v>741</v>
      </c>
      <c r="E15">
        <v>348473</v>
      </c>
      <c r="F15">
        <v>575.58390070921996</v>
      </c>
      <c r="G15">
        <v>-0.35522098980670402</v>
      </c>
      <c r="H15">
        <f>YEAR(tbl_kpi_monthly[[#This Row],[InvoiceMonth]])*100 + MONTH(tbl_kpi_monthly[[#This Row],[InvoiceMonth]])</f>
        <v>201101</v>
      </c>
      <c r="I15">
        <v>-0.16271186440677965</v>
      </c>
    </row>
    <row r="16" spans="1:9">
      <c r="A16" s="1">
        <v>40575</v>
      </c>
      <c r="B16">
        <v>446084.92</v>
      </c>
      <c r="C16">
        <v>997</v>
      </c>
      <c r="D16">
        <v>758</v>
      </c>
      <c r="E16">
        <v>265027</v>
      </c>
      <c r="F16">
        <v>447.4272016048144</v>
      </c>
      <c r="G16">
        <v>-0.21477927942113006</v>
      </c>
      <c r="H16">
        <f>YEAR(tbl_kpi_monthly[[#This Row],[InvoiceMonth]])*100 + MONTH(tbl_kpi_monthly[[#This Row],[InvoiceMonth]])</f>
        <v>201102</v>
      </c>
      <c r="I16">
        <v>2.2941970310391469E-2</v>
      </c>
    </row>
    <row r="17" spans="1:9">
      <c r="A17" s="1">
        <v>40603</v>
      </c>
      <c r="B17">
        <v>594081.76</v>
      </c>
      <c r="C17">
        <v>1321</v>
      </c>
      <c r="D17">
        <v>974</v>
      </c>
      <c r="E17">
        <v>347582</v>
      </c>
      <c r="F17">
        <v>449.72124148372444</v>
      </c>
      <c r="G17">
        <v>0.33176830994421436</v>
      </c>
      <c r="H17">
        <f>YEAR(tbl_kpi_monthly[[#This Row],[InvoiceMonth]])*100 + MONTH(tbl_kpi_monthly[[#This Row],[InvoiceMonth]])</f>
        <v>201103</v>
      </c>
      <c r="I17">
        <v>0.28496042216358841</v>
      </c>
    </row>
    <row r="18" spans="1:9">
      <c r="A18" s="1">
        <v>40634</v>
      </c>
      <c r="B18">
        <v>468374.33100000001</v>
      </c>
      <c r="C18">
        <v>1149</v>
      </c>
      <c r="D18">
        <v>856</v>
      </c>
      <c r="E18">
        <v>291366</v>
      </c>
      <c r="F18">
        <v>407.63649347258485</v>
      </c>
      <c r="G18">
        <v>-0.21159954313359153</v>
      </c>
      <c r="H18">
        <f>YEAR(tbl_kpi_monthly[[#This Row],[InvoiceMonth]])*100 + MONTH(tbl_kpi_monthly[[#This Row],[InvoiceMonth]])</f>
        <v>201104</v>
      </c>
      <c r="I18">
        <v>-0.12114989733059545</v>
      </c>
    </row>
    <row r="19" spans="1:9">
      <c r="A19" s="1">
        <v>40664</v>
      </c>
      <c r="B19">
        <v>677355.15</v>
      </c>
      <c r="C19">
        <v>1555</v>
      </c>
      <c r="D19">
        <v>1056</v>
      </c>
      <c r="E19">
        <v>372864</v>
      </c>
      <c r="F19">
        <v>435.59816720257237</v>
      </c>
      <c r="G19">
        <v>0.44618333065737548</v>
      </c>
      <c r="H19">
        <f>YEAR(tbl_kpi_monthly[[#This Row],[InvoiceMonth]])*100 + MONTH(tbl_kpi_monthly[[#This Row],[InvoiceMonth]])</f>
        <v>201105</v>
      </c>
      <c r="I19">
        <v>0.23364485981308403</v>
      </c>
    </row>
    <row r="20" spans="1:9">
      <c r="A20" s="1">
        <v>40695</v>
      </c>
      <c r="B20">
        <v>660046.05000000005</v>
      </c>
      <c r="C20">
        <v>1393</v>
      </c>
      <c r="D20">
        <v>991</v>
      </c>
      <c r="E20">
        <v>363014</v>
      </c>
      <c r="F20">
        <v>473.83061737257719</v>
      </c>
      <c r="G20">
        <v>-2.5553950538354964E-2</v>
      </c>
      <c r="H20">
        <f>YEAR(tbl_kpi_monthly[[#This Row],[InvoiceMonth]])*100 + MONTH(tbl_kpi_monthly[[#This Row],[InvoiceMonth]])</f>
        <v>201106</v>
      </c>
      <c r="I20">
        <v>-6.1553030303030276E-2</v>
      </c>
    </row>
    <row r="21" spans="1:9">
      <c r="A21" s="1">
        <v>40725</v>
      </c>
      <c r="B21">
        <v>598962.90099999995</v>
      </c>
      <c r="C21">
        <v>1331</v>
      </c>
      <c r="D21">
        <v>949</v>
      </c>
      <c r="E21">
        <v>367360</v>
      </c>
      <c r="F21">
        <v>450.00969271224642</v>
      </c>
      <c r="G21">
        <v>-9.2543768726439768E-2</v>
      </c>
      <c r="H21">
        <f>YEAR(tbl_kpi_monthly[[#This Row],[InvoiceMonth]])*100 + MONTH(tbl_kpi_monthly[[#This Row],[InvoiceMonth]])</f>
        <v>201107</v>
      </c>
      <c r="I21">
        <v>-4.2381432896064553E-2</v>
      </c>
    </row>
    <row r="22" spans="1:9">
      <c r="A22" s="1">
        <v>40756</v>
      </c>
      <c r="B22">
        <v>644051.04</v>
      </c>
      <c r="C22">
        <v>1280</v>
      </c>
      <c r="D22">
        <v>935</v>
      </c>
      <c r="E22">
        <v>397373</v>
      </c>
      <c r="F22">
        <v>503.16487500000005</v>
      </c>
      <c r="G22">
        <v>7.5277014527482589E-2</v>
      </c>
      <c r="H22">
        <f>YEAR(tbl_kpi_monthly[[#This Row],[InvoiceMonth]])*100 + MONTH(tbl_kpi_monthly[[#This Row],[InvoiceMonth]])</f>
        <v>201108</v>
      </c>
      <c r="I22">
        <v>-1.475237091675452E-2</v>
      </c>
    </row>
    <row r="23" spans="1:9">
      <c r="A23" s="1">
        <v>40787</v>
      </c>
      <c r="B23">
        <v>950690.20200000005</v>
      </c>
      <c r="C23">
        <v>1755</v>
      </c>
      <c r="D23">
        <v>1266</v>
      </c>
      <c r="E23">
        <v>543652</v>
      </c>
      <c r="F23">
        <v>541.70381880341881</v>
      </c>
      <c r="G23">
        <v>0.47611003314271483</v>
      </c>
      <c r="H23">
        <f>YEAR(tbl_kpi_monthly[[#This Row],[InvoiceMonth]])*100 + MONTH(tbl_kpi_monthly[[#This Row],[InvoiceMonth]])</f>
        <v>201109</v>
      </c>
      <c r="I23">
        <v>0.35401069518716577</v>
      </c>
    </row>
    <row r="24" spans="1:9">
      <c r="A24" s="1">
        <v>40817</v>
      </c>
      <c r="B24">
        <v>1035642.45</v>
      </c>
      <c r="C24">
        <v>1929</v>
      </c>
      <c r="D24">
        <v>1364</v>
      </c>
      <c r="E24">
        <v>591543</v>
      </c>
      <c r="F24">
        <v>536.88048211508556</v>
      </c>
      <c r="G24">
        <v>8.9358497459301578E-2</v>
      </c>
      <c r="H24">
        <f>YEAR(tbl_kpi_monthly[[#This Row],[InvoiceMonth]])*100 + MONTH(tbl_kpi_monthly[[#This Row],[InvoiceMonth]])</f>
        <v>201110</v>
      </c>
      <c r="I24">
        <v>7.7409162717219537E-2</v>
      </c>
    </row>
    <row r="25" spans="1:9">
      <c r="A25" s="1">
        <v>40848</v>
      </c>
      <c r="B25">
        <v>1156205.6100000001</v>
      </c>
      <c r="C25">
        <v>2657</v>
      </c>
      <c r="D25">
        <v>1664</v>
      </c>
      <c r="E25">
        <v>665923</v>
      </c>
      <c r="F25">
        <v>435.15453895370723</v>
      </c>
      <c r="G25">
        <v>0.11641388396159336</v>
      </c>
      <c r="H25">
        <f>YEAR(tbl_kpi_monthly[[#This Row],[InvoiceMonth]])*100 + MONTH(tbl_kpi_monthly[[#This Row],[InvoiceMonth]])</f>
        <v>201111</v>
      </c>
      <c r="I25">
        <v>0.21994134897360706</v>
      </c>
    </row>
    <row r="26" spans="1:9">
      <c r="A26" s="1">
        <v>40878</v>
      </c>
      <c r="B26">
        <v>517208.44</v>
      </c>
      <c r="C26">
        <v>778</v>
      </c>
      <c r="D26">
        <v>615</v>
      </c>
      <c r="E26">
        <v>286778</v>
      </c>
      <c r="F26">
        <v>664.79233933161959</v>
      </c>
      <c r="G26">
        <v>-0.55266741873013403</v>
      </c>
      <c r="H26">
        <f>YEAR(tbl_kpi_monthly[[#This Row],[InvoiceMonth]])*100 + MONTH(tbl_kpi_monthly[[#This Row],[InvoiceMonth]])</f>
        <v>201112</v>
      </c>
      <c r="I26">
        <v>-0.63040865384615385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7F40-9536-4F2D-96FA-389D6E44AD5C}">
  <dimension ref="A1:S64"/>
  <sheetViews>
    <sheetView topLeftCell="H17" zoomScale="99" zoomScaleNormal="100" workbookViewId="0">
      <selection activeCell="L43" sqref="L43"/>
    </sheetView>
  </sheetViews>
  <sheetFormatPr defaultRowHeight="14.4"/>
  <cols>
    <col min="1" max="1" width="13.33203125" style="8" bestFit="1" customWidth="1"/>
    <col min="2" max="2" width="15" bestFit="1" customWidth="1"/>
    <col min="3" max="3" width="13.21875" bestFit="1" customWidth="1"/>
    <col min="4" max="4" width="22" bestFit="1" customWidth="1"/>
    <col min="7" max="7" width="12.88671875" bestFit="1" customWidth="1"/>
    <col min="8" max="8" width="14.88671875" bestFit="1" customWidth="1"/>
    <col min="17" max="17" width="13.33203125" style="8" bestFit="1" customWidth="1"/>
    <col min="18" max="18" width="14.44140625" bestFit="1" customWidth="1"/>
    <col min="19" max="19" width="13.21875" bestFit="1" customWidth="1"/>
  </cols>
  <sheetData>
    <row r="1" spans="1:19">
      <c r="A1" s="6" t="s">
        <v>50</v>
      </c>
      <c r="B1" t="s">
        <v>52</v>
      </c>
      <c r="C1" t="s">
        <v>53</v>
      </c>
      <c r="D1" t="s">
        <v>54</v>
      </c>
      <c r="G1" s="3" t="s">
        <v>0</v>
      </c>
      <c r="H1" t="s">
        <v>55</v>
      </c>
      <c r="Q1" s="3" t="s">
        <v>50</v>
      </c>
      <c r="R1" t="s">
        <v>56</v>
      </c>
      <c r="S1" t="s">
        <v>53</v>
      </c>
    </row>
    <row r="2" spans="1:19">
      <c r="A2" s="7">
        <v>40148</v>
      </c>
      <c r="B2" s="2">
        <v>683504.01</v>
      </c>
      <c r="C2" s="2">
        <v>1512</v>
      </c>
      <c r="D2" s="2">
        <v>955</v>
      </c>
      <c r="Q2" s="7">
        <v>40148</v>
      </c>
      <c r="R2" s="2">
        <v>452.05291666666665</v>
      </c>
      <c r="S2" s="2">
        <v>1512</v>
      </c>
    </row>
    <row r="3" spans="1:19">
      <c r="A3" s="7">
        <v>40179</v>
      </c>
      <c r="B3" s="2">
        <v>555802.67200000002</v>
      </c>
      <c r="C3" s="2">
        <v>1011</v>
      </c>
      <c r="D3" s="2">
        <v>720</v>
      </c>
      <c r="G3" s="3" t="s">
        <v>50</v>
      </c>
      <c r="H3" t="s">
        <v>52</v>
      </c>
      <c r="Q3" s="7">
        <v>40179</v>
      </c>
      <c r="R3" s="2">
        <v>549.75536300692386</v>
      </c>
      <c r="S3" s="2">
        <v>1011</v>
      </c>
    </row>
    <row r="4" spans="1:19">
      <c r="A4" s="7">
        <v>40210</v>
      </c>
      <c r="B4" s="2">
        <v>504558.95600000001</v>
      </c>
      <c r="C4" s="2">
        <v>1104</v>
      </c>
      <c r="D4" s="2">
        <v>772</v>
      </c>
      <c r="G4" s="5" t="s">
        <v>47</v>
      </c>
      <c r="H4" s="2">
        <v>14666669.077</v>
      </c>
      <c r="Q4" s="7">
        <v>40210</v>
      </c>
      <c r="R4" s="2">
        <v>457.02803985507245</v>
      </c>
      <c r="S4" s="2">
        <v>1104</v>
      </c>
    </row>
    <row r="5" spans="1:19">
      <c r="A5" s="7">
        <v>40238</v>
      </c>
      <c r="B5" s="2">
        <v>696978.47100000002</v>
      </c>
      <c r="C5" s="2">
        <v>1524</v>
      </c>
      <c r="D5" s="2">
        <v>1057</v>
      </c>
      <c r="G5" s="5" t="s">
        <v>19</v>
      </c>
      <c r="H5" s="2">
        <v>621304.32000000007</v>
      </c>
      <c r="Q5" s="7">
        <v>40238</v>
      </c>
      <c r="R5" s="2">
        <v>457.33495472440944</v>
      </c>
      <c r="S5" s="2">
        <v>1524</v>
      </c>
    </row>
    <row r="6" spans="1:19">
      <c r="A6" s="7">
        <v>40269</v>
      </c>
      <c r="B6" s="2">
        <v>591982.00199999998</v>
      </c>
      <c r="C6" s="2">
        <v>1329</v>
      </c>
      <c r="D6" s="2">
        <v>942</v>
      </c>
      <c r="G6" s="5" t="s">
        <v>33</v>
      </c>
      <c r="H6" s="2">
        <v>554230.69000000006</v>
      </c>
      <c r="Q6" s="7">
        <v>40269</v>
      </c>
      <c r="R6" s="2">
        <v>445.43416252821669</v>
      </c>
      <c r="S6" s="2">
        <v>1329</v>
      </c>
    </row>
    <row r="7" spans="1:19">
      <c r="A7" s="7">
        <v>40299</v>
      </c>
      <c r="B7" s="2">
        <v>597833.38</v>
      </c>
      <c r="C7" s="2">
        <v>1377</v>
      </c>
      <c r="D7" s="2">
        <v>966</v>
      </c>
      <c r="G7" s="5" t="s">
        <v>23</v>
      </c>
      <c r="H7" s="2">
        <v>430703.79099999991</v>
      </c>
      <c r="Q7" s="7">
        <v>40299</v>
      </c>
      <c r="R7" s="2">
        <v>434.15641249092232</v>
      </c>
      <c r="S7" s="2">
        <v>1377</v>
      </c>
    </row>
    <row r="8" spans="1:19">
      <c r="A8" s="7">
        <v>40330</v>
      </c>
      <c r="B8" s="2">
        <v>636371.13</v>
      </c>
      <c r="C8" s="2">
        <v>1497</v>
      </c>
      <c r="D8" s="2">
        <v>1041</v>
      </c>
      <c r="G8" s="5" t="s">
        <v>22</v>
      </c>
      <c r="H8" s="2">
        <v>355059.37999999995</v>
      </c>
      <c r="Q8" s="7">
        <v>40330</v>
      </c>
      <c r="R8" s="2">
        <v>425.09761523046092</v>
      </c>
      <c r="S8" s="2">
        <v>1497</v>
      </c>
    </row>
    <row r="9" spans="1:19">
      <c r="A9" s="7">
        <v>40360</v>
      </c>
      <c r="B9" s="2">
        <v>589736.17000000004</v>
      </c>
      <c r="C9" s="2">
        <v>1381</v>
      </c>
      <c r="D9" s="2">
        <v>928</v>
      </c>
      <c r="G9" s="5" t="s">
        <v>9</v>
      </c>
      <c r="H9" s="2">
        <v>169900.61000000004</v>
      </c>
      <c r="Q9" s="7">
        <v>40360</v>
      </c>
      <c r="R9" s="2">
        <v>427.03560463432297</v>
      </c>
      <c r="S9" s="2">
        <v>1381</v>
      </c>
    </row>
    <row r="10" spans="1:19">
      <c r="A10" s="7">
        <v>40391</v>
      </c>
      <c r="B10" s="2">
        <v>602224.6</v>
      </c>
      <c r="C10" s="2">
        <v>1293</v>
      </c>
      <c r="D10" s="2">
        <v>911</v>
      </c>
      <c r="G10" s="5" t="s">
        <v>41</v>
      </c>
      <c r="H10" s="2">
        <v>109127.21000000002</v>
      </c>
      <c r="Q10" s="7">
        <v>40391</v>
      </c>
      <c r="R10" s="2">
        <v>465.75761794276872</v>
      </c>
      <c r="S10" s="2">
        <v>1293</v>
      </c>
    </row>
    <row r="11" spans="1:19">
      <c r="A11" s="7">
        <v>40422</v>
      </c>
      <c r="B11" s="2">
        <v>829013.951</v>
      </c>
      <c r="C11" s="2">
        <v>1689</v>
      </c>
      <c r="D11" s="2">
        <v>1145</v>
      </c>
      <c r="G11" s="5" t="s">
        <v>43</v>
      </c>
      <c r="H11" s="2">
        <v>100365.34</v>
      </c>
      <c r="Q11" s="7">
        <v>40422</v>
      </c>
      <c r="R11" s="2">
        <v>490.8312320899941</v>
      </c>
      <c r="S11" s="2">
        <v>1689</v>
      </c>
    </row>
    <row r="12" spans="1:19">
      <c r="A12" s="7">
        <v>40452</v>
      </c>
      <c r="B12" s="2">
        <v>1033112.01</v>
      </c>
      <c r="C12" s="2">
        <v>2133</v>
      </c>
      <c r="D12" s="2">
        <v>1497</v>
      </c>
      <c r="G12" s="5" t="s">
        <v>42</v>
      </c>
      <c r="H12" s="2">
        <v>91515.82</v>
      </c>
      <c r="Q12" s="7">
        <v>40452</v>
      </c>
      <c r="R12" s="2">
        <v>484.34693389592127</v>
      </c>
      <c r="S12" s="2">
        <v>2133</v>
      </c>
    </row>
    <row r="13" spans="1:19">
      <c r="A13" s="7">
        <v>40483</v>
      </c>
      <c r="B13" s="2">
        <v>1166460.0220000001</v>
      </c>
      <c r="C13" s="2">
        <v>2587</v>
      </c>
      <c r="D13" s="2">
        <v>1607</v>
      </c>
      <c r="G13" s="5" t="s">
        <v>18</v>
      </c>
      <c r="H13" s="2">
        <v>69862.189999999988</v>
      </c>
      <c r="Q13" s="7">
        <v>40483</v>
      </c>
      <c r="R13" s="2">
        <v>450.89293467336688</v>
      </c>
      <c r="S13" s="2">
        <v>2587</v>
      </c>
    </row>
    <row r="14" spans="1:19">
      <c r="A14" s="7">
        <v>40513</v>
      </c>
      <c r="B14" s="2">
        <v>881079.1</v>
      </c>
      <c r="C14" s="2">
        <v>1400</v>
      </c>
      <c r="D14" s="2">
        <v>885</v>
      </c>
      <c r="G14" s="5" t="s">
        <v>51</v>
      </c>
      <c r="H14" s="2">
        <v>17168738.427999999</v>
      </c>
      <c r="Q14" s="7">
        <v>40513</v>
      </c>
      <c r="R14" s="2">
        <v>629.34221428571425</v>
      </c>
      <c r="S14" s="2">
        <v>1400</v>
      </c>
    </row>
    <row r="15" spans="1:19">
      <c r="A15" s="7">
        <v>40544</v>
      </c>
      <c r="B15" s="2">
        <v>568101.31000000006</v>
      </c>
      <c r="C15" s="2">
        <v>987</v>
      </c>
      <c r="D15" s="2">
        <v>741</v>
      </c>
      <c r="Q15" s="7">
        <v>40544</v>
      </c>
      <c r="R15" s="2">
        <v>575.58390070921996</v>
      </c>
      <c r="S15" s="2">
        <v>987</v>
      </c>
    </row>
    <row r="16" spans="1:19">
      <c r="A16" s="7">
        <v>40575</v>
      </c>
      <c r="B16" s="2">
        <v>446084.92</v>
      </c>
      <c r="C16" s="2">
        <v>997</v>
      </c>
      <c r="D16" s="2">
        <v>758</v>
      </c>
      <c r="Q16" s="7">
        <v>40575</v>
      </c>
      <c r="R16" s="2">
        <v>447.4272016048144</v>
      </c>
      <c r="S16" s="2">
        <v>997</v>
      </c>
    </row>
    <row r="17" spans="1:19">
      <c r="A17" s="7">
        <v>40603</v>
      </c>
      <c r="B17" s="2">
        <v>594081.76</v>
      </c>
      <c r="C17" s="2">
        <v>1321</v>
      </c>
      <c r="D17" s="2">
        <v>974</v>
      </c>
      <c r="Q17" s="7">
        <v>40603</v>
      </c>
      <c r="R17" s="2">
        <v>449.72124148372444</v>
      </c>
      <c r="S17" s="2">
        <v>1321</v>
      </c>
    </row>
    <row r="18" spans="1:19">
      <c r="A18" s="7">
        <v>40634</v>
      </c>
      <c r="B18" s="2">
        <v>468374.33100000001</v>
      </c>
      <c r="C18" s="2">
        <v>1149</v>
      </c>
      <c r="D18" s="2">
        <v>856</v>
      </c>
      <c r="Q18" s="7">
        <v>40634</v>
      </c>
      <c r="R18" s="2">
        <v>407.63649347258485</v>
      </c>
      <c r="S18" s="2">
        <v>1149</v>
      </c>
    </row>
    <row r="19" spans="1:19">
      <c r="A19" s="7">
        <v>40664</v>
      </c>
      <c r="B19" s="2">
        <v>677355.15</v>
      </c>
      <c r="C19" s="2">
        <v>1555</v>
      </c>
      <c r="D19" s="2">
        <v>1056</v>
      </c>
      <c r="Q19" s="7">
        <v>40664</v>
      </c>
      <c r="R19" s="2">
        <v>435.59816720257237</v>
      </c>
      <c r="S19" s="2">
        <v>1555</v>
      </c>
    </row>
    <row r="20" spans="1:19">
      <c r="A20" s="7">
        <v>40695</v>
      </c>
      <c r="B20" s="2">
        <v>660046.05000000005</v>
      </c>
      <c r="C20" s="2">
        <v>1393</v>
      </c>
      <c r="D20" s="2">
        <v>991</v>
      </c>
      <c r="Q20" s="7">
        <v>40695</v>
      </c>
      <c r="R20" s="2">
        <v>473.83061737257719</v>
      </c>
      <c r="S20" s="2">
        <v>1393</v>
      </c>
    </row>
    <row r="21" spans="1:19">
      <c r="A21" s="7">
        <v>40725</v>
      </c>
      <c r="B21" s="2">
        <v>598962.90099999995</v>
      </c>
      <c r="C21" s="2">
        <v>1331</v>
      </c>
      <c r="D21" s="2">
        <v>949</v>
      </c>
      <c r="Q21" s="7">
        <v>40725</v>
      </c>
      <c r="R21" s="2">
        <v>450.00969271224642</v>
      </c>
      <c r="S21" s="2">
        <v>1331</v>
      </c>
    </row>
    <row r="22" spans="1:19">
      <c r="A22" s="7">
        <v>40756</v>
      </c>
      <c r="B22" s="2">
        <v>644051.04</v>
      </c>
      <c r="C22" s="2">
        <v>1280</v>
      </c>
      <c r="D22" s="2">
        <v>935</v>
      </c>
      <c r="Q22" s="7">
        <v>40756</v>
      </c>
      <c r="R22" s="2">
        <v>503.16487500000005</v>
      </c>
      <c r="S22" s="2">
        <v>1280</v>
      </c>
    </row>
    <row r="23" spans="1:19">
      <c r="A23" s="7">
        <v>40787</v>
      </c>
      <c r="B23" s="2">
        <v>950690.20200000005</v>
      </c>
      <c r="C23" s="2">
        <v>1755</v>
      </c>
      <c r="D23" s="2">
        <v>1266</v>
      </c>
      <c r="Q23" s="7">
        <v>40787</v>
      </c>
      <c r="R23" s="2">
        <v>541.70381880341881</v>
      </c>
      <c r="S23" s="2">
        <v>1755</v>
      </c>
    </row>
    <row r="24" spans="1:19">
      <c r="A24" s="7">
        <v>40817</v>
      </c>
      <c r="B24" s="2">
        <v>1035642.45</v>
      </c>
      <c r="C24" s="2">
        <v>1929</v>
      </c>
      <c r="D24" s="2">
        <v>1364</v>
      </c>
      <c r="Q24" s="7">
        <v>40817</v>
      </c>
      <c r="R24" s="2">
        <v>536.88048211508556</v>
      </c>
      <c r="S24" s="2">
        <v>1929</v>
      </c>
    </row>
    <row r="25" spans="1:19">
      <c r="A25" s="7">
        <v>40848</v>
      </c>
      <c r="B25" s="2">
        <v>1156205.6100000001</v>
      </c>
      <c r="C25" s="2">
        <v>2657</v>
      </c>
      <c r="D25" s="2">
        <v>1664</v>
      </c>
      <c r="Q25" s="7">
        <v>40848</v>
      </c>
      <c r="R25" s="2">
        <v>435.15453895370723</v>
      </c>
      <c r="S25" s="2">
        <v>2657</v>
      </c>
    </row>
    <row r="26" spans="1:19">
      <c r="A26" s="7">
        <v>40878</v>
      </c>
      <c r="B26" s="2">
        <v>517208.44</v>
      </c>
      <c r="C26" s="2">
        <v>778</v>
      </c>
      <c r="D26" s="2">
        <v>615</v>
      </c>
      <c r="Q26" s="7">
        <v>40878</v>
      </c>
      <c r="R26" s="2">
        <v>664.79233933161959</v>
      </c>
      <c r="S26" s="2">
        <v>778</v>
      </c>
    </row>
    <row r="27" spans="1:19">
      <c r="A27" s="7" t="s">
        <v>51</v>
      </c>
      <c r="B27" s="2">
        <v>17685460.638</v>
      </c>
      <c r="C27" s="2">
        <v>36969</v>
      </c>
      <c r="D27" s="2">
        <v>25595</v>
      </c>
      <c r="Q27" s="4" t="s">
        <v>51</v>
      </c>
      <c r="R27" s="2">
        <v>483.62277483145334</v>
      </c>
      <c r="S27" s="2">
        <v>36969</v>
      </c>
    </row>
    <row r="28" spans="1:19">
      <c r="A28"/>
    </row>
    <row r="29" spans="1:19">
      <c r="A29"/>
    </row>
    <row r="30" spans="1:19">
      <c r="A30"/>
    </row>
    <row r="31" spans="1:19">
      <c r="A31"/>
    </row>
    <row r="32" spans="1:19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9505-8040-43BB-B038-CB7D0778353A}">
  <dimension ref="A1:A25"/>
  <sheetViews>
    <sheetView workbookViewId="0"/>
  </sheetViews>
  <sheetFormatPr defaultRowHeight="14.4"/>
  <cols>
    <col min="1" max="1" width="9.5546875" style="8" bestFit="1" customWidth="1"/>
  </cols>
  <sheetData>
    <row r="1" spans="1:1">
      <c r="A1" s="8" cm="1">
        <f t="array" ref="A1:A25">tbl_kpi_monthly[InvoiceMonth]</f>
        <v>40148</v>
      </c>
    </row>
    <row r="2" spans="1:1">
      <c r="A2" s="8">
        <v>40179</v>
      </c>
    </row>
    <row r="3" spans="1:1">
      <c r="A3" s="8">
        <v>40210</v>
      </c>
    </row>
    <row r="4" spans="1:1">
      <c r="A4" s="8">
        <v>40238</v>
      </c>
    </row>
    <row r="5" spans="1:1">
      <c r="A5" s="8">
        <v>40269</v>
      </c>
    </row>
    <row r="6" spans="1:1">
      <c r="A6" s="8">
        <v>40299</v>
      </c>
    </row>
    <row r="7" spans="1:1">
      <c r="A7" s="8">
        <v>40330</v>
      </c>
    </row>
    <row r="8" spans="1:1">
      <c r="A8" s="8">
        <v>40360</v>
      </c>
    </row>
    <row r="9" spans="1:1">
      <c r="A9" s="8">
        <v>40391</v>
      </c>
    </row>
    <row r="10" spans="1:1">
      <c r="A10" s="8">
        <v>40422</v>
      </c>
    </row>
    <row r="11" spans="1:1">
      <c r="A11" s="8">
        <v>40452</v>
      </c>
    </row>
    <row r="12" spans="1:1">
      <c r="A12" s="8">
        <v>40483</v>
      </c>
    </row>
    <row r="13" spans="1:1">
      <c r="A13" s="8">
        <v>40513</v>
      </c>
    </row>
    <row r="14" spans="1:1">
      <c r="A14" s="8">
        <v>40544</v>
      </c>
    </row>
    <row r="15" spans="1:1">
      <c r="A15" s="8">
        <v>40575</v>
      </c>
    </row>
    <row r="16" spans="1:1">
      <c r="A16" s="8">
        <v>40603</v>
      </c>
    </row>
    <row r="17" spans="1:1">
      <c r="A17" s="8">
        <v>40634</v>
      </c>
    </row>
    <row r="18" spans="1:1">
      <c r="A18" s="8">
        <v>40664</v>
      </c>
    </row>
    <row r="19" spans="1:1">
      <c r="A19" s="8">
        <v>40695</v>
      </c>
    </row>
    <row r="20" spans="1:1">
      <c r="A20" s="8">
        <v>40725</v>
      </c>
    </row>
    <row r="21" spans="1:1">
      <c r="A21" s="8">
        <v>40756</v>
      </c>
    </row>
    <row r="22" spans="1:1">
      <c r="A22" s="8">
        <v>40787</v>
      </c>
    </row>
    <row r="23" spans="1:1">
      <c r="A23" s="8">
        <v>40817</v>
      </c>
    </row>
    <row r="24" spans="1:1">
      <c r="A24" s="8">
        <v>40848</v>
      </c>
    </row>
    <row r="25" spans="1:1">
      <c r="A25" s="8">
        <v>40878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H3" sqref="H3"/>
    </sheetView>
  </sheetViews>
  <sheetFormatPr defaultRowHeight="14.4"/>
  <cols>
    <col min="1" max="1" width="19.21875" style="8" customWidth="1"/>
    <col min="2" max="2" width="13.44140625" customWidth="1"/>
    <col min="4" max="4" width="18.44140625" customWidth="1"/>
    <col min="5" max="6" width="14.109375" customWidth="1"/>
    <col min="7" max="7" width="13" style="9" customWidth="1"/>
  </cols>
  <sheetData>
    <row r="1" spans="1:8">
      <c r="A1" s="8" t="s">
        <v>0</v>
      </c>
      <c r="B1" t="s">
        <v>1</v>
      </c>
      <c r="C1" t="s">
        <v>2</v>
      </c>
      <c r="D1" t="s">
        <v>57</v>
      </c>
      <c r="E1" t="s">
        <v>58</v>
      </c>
      <c r="F1" t="s">
        <v>59</v>
      </c>
      <c r="G1" s="9" t="s">
        <v>66</v>
      </c>
      <c r="H1" s="9" t="s">
        <v>64</v>
      </c>
    </row>
    <row r="2" spans="1:8">
      <c r="A2" s="8">
        <f>tbl_kpi_monthly[[#This Row],[InvoiceMonth]]</f>
        <v>40148</v>
      </c>
      <c r="B2">
        <f>_xlfn.XLOOKUP(A2, tbl_kpi_monthly[InvoiceMonth], tbl_kpi_monthly[Revenue])</f>
        <v>683504.01</v>
      </c>
      <c r="C2">
        <f>_xlfn.XLOOKUP(A2, tbl_kpi_monthly[InvoiceMonth], tbl_kpi_monthly[Orders])</f>
        <v>1512</v>
      </c>
      <c r="D2">
        <f>IF(tbl_calc_checks[[#This Row],[Orders]]=0, 0, tbl_calc_checks[[#This Row],[Revenue]]/tbl_calc_checks[[#This Row],[Orders]])</f>
        <v>452.05291666666665</v>
      </c>
      <c r="E2">
        <f>_xlfn.XLOOKUP(tbl_calc_checks[[#This Row],[InvoiceMonth]], tbl_kpi_monthly[InvoiceMonth], tbl_kpi_monthly[AOV])</f>
        <v>452.05291666666665</v>
      </c>
      <c r="F2">
        <f>tbl_calc_checks[[#This Row],[AOV_Recomputed]]-tbl_calc_checks[[#This Row],[AOV_Original]]</f>
        <v>0</v>
      </c>
      <c r="G2" s="9" t="str">
        <f ca="1">IFERROR((tbl_calc_checks[[#This Row],[Revenue]] / OFFSET(tbl_calc_checks[[#This Row],[Revenue]], -1, 0)) - 1, "")</f>
        <v/>
      </c>
      <c r="H2" s="2" t="str">
        <f ca="1">IFERROR(tbl_calc_checks[[#This Row],[Revenue_MoM_Formula]] - _xlfn.XLOOKUP(tbl_calc_checks[[#This Row],[InvoiceMonth]], tbl_kpi_monthly[InvoiceMonth], tbl_kpi_monthly[Revenue_MoM_Growth]), "")</f>
        <v/>
      </c>
    </row>
    <row r="3" spans="1:8">
      <c r="A3" s="8">
        <f>tbl_kpi_monthly[[#This Row],[InvoiceMonth]]</f>
        <v>40179</v>
      </c>
      <c r="B3">
        <f>_xlfn.XLOOKUP(A3, tbl_kpi_monthly[InvoiceMonth], tbl_kpi_monthly[Revenue])</f>
        <v>555802.67200000002</v>
      </c>
      <c r="C3">
        <f>_xlfn.XLOOKUP(A3, tbl_kpi_monthly[InvoiceMonth], tbl_kpi_monthly[Orders])</f>
        <v>1011</v>
      </c>
      <c r="D3">
        <f>IF(tbl_calc_checks[[#This Row],[Orders]]=0, 0, tbl_calc_checks[[#This Row],[Revenue]]/tbl_calc_checks[[#This Row],[Orders]])</f>
        <v>549.75536300692386</v>
      </c>
      <c r="E3">
        <f>_xlfn.XLOOKUP(tbl_calc_checks[[#This Row],[InvoiceMonth]], tbl_kpi_monthly[InvoiceMonth], tbl_kpi_monthly[AOV])</f>
        <v>549.75536300692386</v>
      </c>
      <c r="F3">
        <f>tbl_calc_checks[[#This Row],[AOV_Recomputed]]-tbl_calc_checks[[#This Row],[AOV_Original]]</f>
        <v>0</v>
      </c>
      <c r="G3" s="9">
        <f ca="1">IFERROR((tbl_calc_checks[[#This Row],[Revenue]] / OFFSET(tbl_calc_checks[[#This Row],[Revenue]], -1, 0)) - 1, "")</f>
        <v>-0.18683334132889728</v>
      </c>
      <c r="H3" s="2">
        <f ca="1">IFERROR(tbl_calc_checks[[#This Row],[Revenue_MoM_Formula]] - _xlfn.XLOOKUP(tbl_calc_checks[[#This Row],[InvoiceMonth]], tbl_kpi_monthly[InvoiceMonth], tbl_kpi_monthly[Revenue_MoM_Growth]), "")</f>
        <v>0</v>
      </c>
    </row>
    <row r="4" spans="1:8">
      <c r="A4" s="8">
        <f>tbl_kpi_monthly[[#This Row],[InvoiceMonth]]</f>
        <v>40210</v>
      </c>
      <c r="B4">
        <f>_xlfn.XLOOKUP(A4, tbl_kpi_monthly[InvoiceMonth], tbl_kpi_monthly[Revenue])</f>
        <v>504558.95600000001</v>
      </c>
      <c r="C4">
        <f>_xlfn.XLOOKUP(A4, tbl_kpi_monthly[InvoiceMonth], tbl_kpi_monthly[Orders])</f>
        <v>1104</v>
      </c>
      <c r="D4">
        <f>IF(tbl_calc_checks[[#This Row],[Orders]]=0, 0, tbl_calc_checks[[#This Row],[Revenue]]/tbl_calc_checks[[#This Row],[Orders]])</f>
        <v>457.02803985507245</v>
      </c>
      <c r="E4">
        <f>_xlfn.XLOOKUP(tbl_calc_checks[[#This Row],[InvoiceMonth]], tbl_kpi_monthly[InvoiceMonth], tbl_kpi_monthly[AOV])</f>
        <v>457.02803985507245</v>
      </c>
      <c r="F4">
        <f>tbl_calc_checks[[#This Row],[AOV_Recomputed]]-tbl_calc_checks[[#This Row],[AOV_Original]]</f>
        <v>0</v>
      </c>
      <c r="G4" s="9">
        <f ca="1">IFERROR((tbl_calc_checks[[#This Row],[Revenue]] / OFFSET(tbl_calc_checks[[#This Row],[Revenue]], -1, 0)) - 1, "")</f>
        <v>-9.2197678387555548E-2</v>
      </c>
      <c r="H4" s="2">
        <f ca="1">IFERROR(tbl_calc_checks[[#This Row],[Revenue_MoM_Formula]] - _xlfn.XLOOKUP(tbl_calc_checks[[#This Row],[InvoiceMonth]], tbl_kpi_monthly[InvoiceMonth], tbl_kpi_monthly[Revenue_MoM_Growth]), "")</f>
        <v>0</v>
      </c>
    </row>
    <row r="5" spans="1:8">
      <c r="A5" s="8">
        <f>tbl_kpi_monthly[[#This Row],[InvoiceMonth]]</f>
        <v>40238</v>
      </c>
      <c r="B5">
        <f>_xlfn.XLOOKUP(A5, tbl_kpi_monthly[InvoiceMonth], tbl_kpi_monthly[Revenue])</f>
        <v>696978.47100000002</v>
      </c>
      <c r="C5">
        <f>_xlfn.XLOOKUP(A5, tbl_kpi_monthly[InvoiceMonth], tbl_kpi_monthly[Orders])</f>
        <v>1524</v>
      </c>
      <c r="D5">
        <f>IF(tbl_calc_checks[[#This Row],[Orders]]=0, 0, tbl_calc_checks[[#This Row],[Revenue]]/tbl_calc_checks[[#This Row],[Orders]])</f>
        <v>457.33495472440944</v>
      </c>
      <c r="E5">
        <f>_xlfn.XLOOKUP(tbl_calc_checks[[#This Row],[InvoiceMonth]], tbl_kpi_monthly[InvoiceMonth], tbl_kpi_monthly[AOV])</f>
        <v>457.33495472440944</v>
      </c>
      <c r="F5">
        <f>tbl_calc_checks[[#This Row],[AOV_Recomputed]]-tbl_calc_checks[[#This Row],[AOV_Original]]</f>
        <v>0</v>
      </c>
      <c r="G5" s="9">
        <f ca="1">IFERROR((tbl_calc_checks[[#This Row],[Revenue]] / OFFSET(tbl_calc_checks[[#This Row],[Revenue]], -1, 0)) - 1, "")</f>
        <v>0.38136180660719465</v>
      </c>
      <c r="H5" s="2">
        <f ca="1">IFERROR(tbl_calc_checks[[#This Row],[Revenue_MoM_Formula]] - _xlfn.XLOOKUP(tbl_calc_checks[[#This Row],[InvoiceMonth]], tbl_kpi_monthly[InvoiceMonth], tbl_kpi_monthly[Revenue_MoM_Growth]), "")</f>
        <v>0</v>
      </c>
    </row>
    <row r="6" spans="1:8">
      <c r="A6" s="8">
        <f>tbl_kpi_monthly[[#This Row],[InvoiceMonth]]</f>
        <v>40269</v>
      </c>
      <c r="B6">
        <f>_xlfn.XLOOKUP(A6, tbl_kpi_monthly[InvoiceMonth], tbl_kpi_monthly[Revenue])</f>
        <v>591982.00199999998</v>
      </c>
      <c r="C6">
        <f>_xlfn.XLOOKUP(A6, tbl_kpi_monthly[InvoiceMonth], tbl_kpi_monthly[Orders])</f>
        <v>1329</v>
      </c>
      <c r="D6">
        <f>IF(tbl_calc_checks[[#This Row],[Orders]]=0, 0, tbl_calc_checks[[#This Row],[Revenue]]/tbl_calc_checks[[#This Row],[Orders]])</f>
        <v>445.43416252821669</v>
      </c>
      <c r="E6">
        <f>_xlfn.XLOOKUP(tbl_calc_checks[[#This Row],[InvoiceMonth]], tbl_kpi_monthly[InvoiceMonth], tbl_kpi_monthly[AOV])</f>
        <v>445.43416252821669</v>
      </c>
      <c r="F6">
        <f>tbl_calc_checks[[#This Row],[AOV_Recomputed]]-tbl_calc_checks[[#This Row],[AOV_Original]]</f>
        <v>0</v>
      </c>
      <c r="G6" s="9">
        <f ca="1">IFERROR((tbl_calc_checks[[#This Row],[Revenue]] / OFFSET(tbl_calc_checks[[#This Row],[Revenue]], -1, 0)) - 1, "")</f>
        <v>-0.15064521124928698</v>
      </c>
      <c r="H6" s="2">
        <f ca="1">IFERROR(tbl_calc_checks[[#This Row],[Revenue_MoM_Formula]] - _xlfn.XLOOKUP(tbl_calc_checks[[#This Row],[InvoiceMonth]], tbl_kpi_monthly[InvoiceMonth], tbl_kpi_monthly[Revenue_MoM_Growth]), "")</f>
        <v>0</v>
      </c>
    </row>
    <row r="7" spans="1:8">
      <c r="A7" s="8">
        <f>tbl_kpi_monthly[[#This Row],[InvoiceMonth]]</f>
        <v>40299</v>
      </c>
      <c r="B7">
        <f>_xlfn.XLOOKUP(A7, tbl_kpi_monthly[InvoiceMonth], tbl_kpi_monthly[Revenue])</f>
        <v>597833.38</v>
      </c>
      <c r="C7">
        <f>_xlfn.XLOOKUP(A7, tbl_kpi_monthly[InvoiceMonth], tbl_kpi_monthly[Orders])</f>
        <v>1377</v>
      </c>
      <c r="D7">
        <f>IF(tbl_calc_checks[[#This Row],[Orders]]=0, 0, tbl_calc_checks[[#This Row],[Revenue]]/tbl_calc_checks[[#This Row],[Orders]])</f>
        <v>434.15641249092232</v>
      </c>
      <c r="E7">
        <f>_xlfn.XLOOKUP(tbl_calc_checks[[#This Row],[InvoiceMonth]], tbl_kpi_monthly[InvoiceMonth], tbl_kpi_monthly[AOV])</f>
        <v>434.15641249092232</v>
      </c>
      <c r="F7">
        <f>tbl_calc_checks[[#This Row],[AOV_Recomputed]]-tbl_calc_checks[[#This Row],[AOV_Original]]</f>
        <v>0</v>
      </c>
      <c r="G7" s="9">
        <f ca="1">IFERROR((tbl_calc_checks[[#This Row],[Revenue]] / OFFSET(tbl_calc_checks[[#This Row],[Revenue]], -1, 0)) - 1, "")</f>
        <v>9.8843849647982651E-3</v>
      </c>
      <c r="H7" s="2">
        <f ca="1">IFERROR(tbl_calc_checks[[#This Row],[Revenue_MoM_Formula]] - _xlfn.XLOOKUP(tbl_calc_checks[[#This Row],[InvoiceMonth]], tbl_kpi_monthly[InvoiceMonth], tbl_kpi_monthly[Revenue_MoM_Growth]), "")</f>
        <v>0</v>
      </c>
    </row>
    <row r="8" spans="1:8">
      <c r="A8" s="8">
        <f>tbl_kpi_monthly[[#This Row],[InvoiceMonth]]</f>
        <v>40330</v>
      </c>
      <c r="B8">
        <f>_xlfn.XLOOKUP(A8, tbl_kpi_monthly[InvoiceMonth], tbl_kpi_monthly[Revenue])</f>
        <v>636371.13</v>
      </c>
      <c r="C8">
        <f>_xlfn.XLOOKUP(A8, tbl_kpi_monthly[InvoiceMonth], tbl_kpi_monthly[Orders])</f>
        <v>1497</v>
      </c>
      <c r="D8">
        <f>IF(tbl_calc_checks[[#This Row],[Orders]]=0, 0, tbl_calc_checks[[#This Row],[Revenue]]/tbl_calc_checks[[#This Row],[Orders]])</f>
        <v>425.09761523046092</v>
      </c>
      <c r="E8">
        <f>_xlfn.XLOOKUP(tbl_calc_checks[[#This Row],[InvoiceMonth]], tbl_kpi_monthly[InvoiceMonth], tbl_kpi_monthly[AOV])</f>
        <v>425.09761523046092</v>
      </c>
      <c r="F8">
        <f>tbl_calc_checks[[#This Row],[AOV_Recomputed]]-tbl_calc_checks[[#This Row],[AOV_Original]]</f>
        <v>0</v>
      </c>
      <c r="G8" s="9">
        <f ca="1">IFERROR((tbl_calc_checks[[#This Row],[Revenue]] / OFFSET(tbl_calc_checks[[#This Row],[Revenue]], -1, 0)) - 1, "")</f>
        <v>6.4462359060646568E-2</v>
      </c>
      <c r="H8" s="2">
        <f ca="1">IFERROR(tbl_calc_checks[[#This Row],[Revenue_MoM_Formula]] - _xlfn.XLOOKUP(tbl_calc_checks[[#This Row],[InvoiceMonth]], tbl_kpi_monthly[InvoiceMonth], tbl_kpi_monthly[Revenue_MoM_Growth]), "")</f>
        <v>0</v>
      </c>
    </row>
    <row r="9" spans="1:8">
      <c r="A9" s="8">
        <f>tbl_kpi_monthly[[#This Row],[InvoiceMonth]]</f>
        <v>40360</v>
      </c>
      <c r="B9">
        <f>_xlfn.XLOOKUP(A9, tbl_kpi_monthly[InvoiceMonth], tbl_kpi_monthly[Revenue])</f>
        <v>589736.17000000004</v>
      </c>
      <c r="C9">
        <f>_xlfn.XLOOKUP(A9, tbl_kpi_monthly[InvoiceMonth], tbl_kpi_monthly[Orders])</f>
        <v>1381</v>
      </c>
      <c r="D9">
        <f>IF(tbl_calc_checks[[#This Row],[Orders]]=0, 0, tbl_calc_checks[[#This Row],[Revenue]]/tbl_calc_checks[[#This Row],[Orders]])</f>
        <v>427.03560463432297</v>
      </c>
      <c r="E9">
        <f>_xlfn.XLOOKUP(tbl_calc_checks[[#This Row],[InvoiceMonth]], tbl_kpi_monthly[InvoiceMonth], tbl_kpi_monthly[AOV])</f>
        <v>427.03560463432297</v>
      </c>
      <c r="F9">
        <f>tbl_calc_checks[[#This Row],[AOV_Recomputed]]-tbl_calc_checks[[#This Row],[AOV_Original]]</f>
        <v>0</v>
      </c>
      <c r="G9" s="9">
        <f ca="1">IFERROR((tbl_calc_checks[[#This Row],[Revenue]] / OFFSET(tbl_calc_checks[[#This Row],[Revenue]], -1, 0)) - 1, "")</f>
        <v>-7.3282645615931674E-2</v>
      </c>
      <c r="H9" s="2">
        <f ca="1">IFERROR(tbl_calc_checks[[#This Row],[Revenue_MoM_Formula]] - _xlfn.XLOOKUP(tbl_calc_checks[[#This Row],[InvoiceMonth]], tbl_kpi_monthly[InvoiceMonth], tbl_kpi_monthly[Revenue_MoM_Growth]), "")</f>
        <v>0</v>
      </c>
    </row>
    <row r="10" spans="1:8">
      <c r="A10" s="8">
        <f>tbl_kpi_monthly[[#This Row],[InvoiceMonth]]</f>
        <v>40391</v>
      </c>
      <c r="B10">
        <f>_xlfn.XLOOKUP(A10, tbl_kpi_monthly[InvoiceMonth], tbl_kpi_monthly[Revenue])</f>
        <v>602224.6</v>
      </c>
      <c r="C10">
        <f>_xlfn.XLOOKUP(A10, tbl_kpi_monthly[InvoiceMonth], tbl_kpi_monthly[Orders])</f>
        <v>1293</v>
      </c>
      <c r="D10">
        <f>IF(tbl_calc_checks[[#This Row],[Orders]]=0, 0, tbl_calc_checks[[#This Row],[Revenue]]/tbl_calc_checks[[#This Row],[Orders]])</f>
        <v>465.75761794276872</v>
      </c>
      <c r="E10">
        <f>_xlfn.XLOOKUP(tbl_calc_checks[[#This Row],[InvoiceMonth]], tbl_kpi_monthly[InvoiceMonth], tbl_kpi_monthly[AOV])</f>
        <v>465.75761794276872</v>
      </c>
      <c r="F10">
        <f>tbl_calc_checks[[#This Row],[AOV_Recomputed]]-tbl_calc_checks[[#This Row],[AOV_Original]]</f>
        <v>0</v>
      </c>
      <c r="G10" s="9">
        <f ca="1">IFERROR((tbl_calc_checks[[#This Row],[Revenue]] / OFFSET(tbl_calc_checks[[#This Row],[Revenue]], -1, 0)) - 1, "")</f>
        <v>2.1176299903734819E-2</v>
      </c>
      <c r="H10" s="2">
        <f ca="1">IFERROR(tbl_calc_checks[[#This Row],[Revenue_MoM_Formula]] - _xlfn.XLOOKUP(tbl_calc_checks[[#This Row],[InvoiceMonth]], tbl_kpi_monthly[InvoiceMonth], tbl_kpi_monthly[Revenue_MoM_Growth]), "")</f>
        <v>0</v>
      </c>
    </row>
    <row r="11" spans="1:8">
      <c r="A11" s="8">
        <f>tbl_kpi_monthly[[#This Row],[InvoiceMonth]]</f>
        <v>40422</v>
      </c>
      <c r="B11">
        <f>_xlfn.XLOOKUP(A11, tbl_kpi_monthly[InvoiceMonth], tbl_kpi_monthly[Revenue])</f>
        <v>829013.951</v>
      </c>
      <c r="C11">
        <f>_xlfn.XLOOKUP(A11, tbl_kpi_monthly[InvoiceMonth], tbl_kpi_monthly[Orders])</f>
        <v>1689</v>
      </c>
      <c r="D11">
        <f>IF(tbl_calc_checks[[#This Row],[Orders]]=0, 0, tbl_calc_checks[[#This Row],[Revenue]]/tbl_calc_checks[[#This Row],[Orders]])</f>
        <v>490.8312320899941</v>
      </c>
      <c r="E11">
        <f>_xlfn.XLOOKUP(tbl_calc_checks[[#This Row],[InvoiceMonth]], tbl_kpi_monthly[InvoiceMonth], tbl_kpi_monthly[AOV])</f>
        <v>490.8312320899941</v>
      </c>
      <c r="F11">
        <f>tbl_calc_checks[[#This Row],[AOV_Recomputed]]-tbl_calc_checks[[#This Row],[AOV_Original]]</f>
        <v>0</v>
      </c>
      <c r="G11" s="9">
        <f ca="1">IFERROR((tbl_calc_checks[[#This Row],[Revenue]] / OFFSET(tbl_calc_checks[[#This Row],[Revenue]], -1, 0)) - 1, "")</f>
        <v>0.37658599632097389</v>
      </c>
      <c r="H11" s="2">
        <f ca="1">IFERROR(tbl_calc_checks[[#This Row],[Revenue_MoM_Formula]] - _xlfn.XLOOKUP(tbl_calc_checks[[#This Row],[InvoiceMonth]], tbl_kpi_monthly[InvoiceMonth], tbl_kpi_monthly[Revenue_MoM_Growth]), "")</f>
        <v>0</v>
      </c>
    </row>
    <row r="12" spans="1:8">
      <c r="A12" s="8">
        <f>tbl_kpi_monthly[[#This Row],[InvoiceMonth]]</f>
        <v>40452</v>
      </c>
      <c r="B12">
        <f>_xlfn.XLOOKUP(A12, tbl_kpi_monthly[InvoiceMonth], tbl_kpi_monthly[Revenue])</f>
        <v>1033112.01</v>
      </c>
      <c r="C12">
        <f>_xlfn.XLOOKUP(A12, tbl_kpi_monthly[InvoiceMonth], tbl_kpi_monthly[Orders])</f>
        <v>2133</v>
      </c>
      <c r="D12">
        <f>IF(tbl_calc_checks[[#This Row],[Orders]]=0, 0, tbl_calc_checks[[#This Row],[Revenue]]/tbl_calc_checks[[#This Row],[Orders]])</f>
        <v>484.34693389592127</v>
      </c>
      <c r="E12">
        <f>_xlfn.XLOOKUP(tbl_calc_checks[[#This Row],[InvoiceMonth]], tbl_kpi_monthly[InvoiceMonth], tbl_kpi_monthly[AOV])</f>
        <v>484.34693389592127</v>
      </c>
      <c r="F12">
        <f>tbl_calc_checks[[#This Row],[AOV_Recomputed]]-tbl_calc_checks[[#This Row],[AOV_Original]]</f>
        <v>0</v>
      </c>
      <c r="G12" s="9">
        <f ca="1">IFERROR((tbl_calc_checks[[#This Row],[Revenue]] / OFFSET(tbl_calc_checks[[#This Row],[Revenue]], -1, 0)) - 1, "")</f>
        <v>0.2461937567562118</v>
      </c>
      <c r="H12" s="2">
        <f ca="1">IFERROR(tbl_calc_checks[[#This Row],[Revenue_MoM_Formula]] - _xlfn.XLOOKUP(tbl_calc_checks[[#This Row],[InvoiceMonth]], tbl_kpi_monthly[InvoiceMonth], tbl_kpi_monthly[Revenue_MoM_Growth]), "")</f>
        <v>0</v>
      </c>
    </row>
    <row r="13" spans="1:8">
      <c r="A13" s="8">
        <f>tbl_kpi_monthly[[#This Row],[InvoiceMonth]]</f>
        <v>40483</v>
      </c>
      <c r="B13">
        <f>_xlfn.XLOOKUP(A13, tbl_kpi_monthly[InvoiceMonth], tbl_kpi_monthly[Revenue])</f>
        <v>1166460.0220000001</v>
      </c>
      <c r="C13">
        <f>_xlfn.XLOOKUP(A13, tbl_kpi_monthly[InvoiceMonth], tbl_kpi_monthly[Orders])</f>
        <v>2587</v>
      </c>
      <c r="D13">
        <f>IF(tbl_calc_checks[[#This Row],[Orders]]=0, 0, tbl_calc_checks[[#This Row],[Revenue]]/tbl_calc_checks[[#This Row],[Orders]])</f>
        <v>450.89293467336688</v>
      </c>
      <c r="E13">
        <f>_xlfn.XLOOKUP(tbl_calc_checks[[#This Row],[InvoiceMonth]], tbl_kpi_monthly[InvoiceMonth], tbl_kpi_monthly[AOV])</f>
        <v>450.89293467336688</v>
      </c>
      <c r="F13">
        <f>tbl_calc_checks[[#This Row],[AOV_Recomputed]]-tbl_calc_checks[[#This Row],[AOV_Original]]</f>
        <v>0</v>
      </c>
      <c r="G13" s="9">
        <f ca="1">IFERROR((tbl_calc_checks[[#This Row],[Revenue]] / OFFSET(tbl_calc_checks[[#This Row],[Revenue]], -1, 0)) - 1, "")</f>
        <v>0.12907410881807491</v>
      </c>
      <c r="H13" s="2">
        <f ca="1">IFERROR(tbl_calc_checks[[#This Row],[Revenue_MoM_Formula]] - _xlfn.XLOOKUP(tbl_calc_checks[[#This Row],[InvoiceMonth]], tbl_kpi_monthly[InvoiceMonth], tbl_kpi_monthly[Revenue_MoM_Growth]), "")</f>
        <v>0</v>
      </c>
    </row>
    <row r="14" spans="1:8">
      <c r="A14" s="8">
        <f>tbl_kpi_monthly[[#This Row],[InvoiceMonth]]</f>
        <v>40513</v>
      </c>
      <c r="B14">
        <f>_xlfn.XLOOKUP(A14, tbl_kpi_monthly[InvoiceMonth], tbl_kpi_monthly[Revenue])</f>
        <v>881079.1</v>
      </c>
      <c r="C14">
        <f>_xlfn.XLOOKUP(A14, tbl_kpi_monthly[InvoiceMonth], tbl_kpi_monthly[Orders])</f>
        <v>1400</v>
      </c>
      <c r="D14">
        <f>IF(tbl_calc_checks[[#This Row],[Orders]]=0, 0, tbl_calc_checks[[#This Row],[Revenue]]/tbl_calc_checks[[#This Row],[Orders]])</f>
        <v>629.34221428571425</v>
      </c>
      <c r="E14">
        <f>_xlfn.XLOOKUP(tbl_calc_checks[[#This Row],[InvoiceMonth]], tbl_kpi_monthly[InvoiceMonth], tbl_kpi_monthly[AOV])</f>
        <v>629.34221428571425</v>
      </c>
      <c r="F14">
        <f>tbl_calc_checks[[#This Row],[AOV_Recomputed]]-tbl_calc_checks[[#This Row],[AOV_Original]]</f>
        <v>0</v>
      </c>
      <c r="G14" s="9">
        <f ca="1">IFERROR((tbl_calc_checks[[#This Row],[Revenue]] / OFFSET(tbl_calc_checks[[#This Row],[Revenue]], -1, 0)) - 1, "")</f>
        <v>-0.24465555322735277</v>
      </c>
      <c r="H14" s="2">
        <f ca="1">IFERROR(tbl_calc_checks[[#This Row],[Revenue_MoM_Formula]] - _xlfn.XLOOKUP(tbl_calc_checks[[#This Row],[InvoiceMonth]], tbl_kpi_monthly[InvoiceMonth], tbl_kpi_monthly[Revenue_MoM_Growth]), "")</f>
        <v>0</v>
      </c>
    </row>
    <row r="15" spans="1:8">
      <c r="A15" s="8">
        <f>tbl_kpi_monthly[[#This Row],[InvoiceMonth]]</f>
        <v>40544</v>
      </c>
      <c r="B15">
        <f>_xlfn.XLOOKUP(A15, tbl_kpi_monthly[InvoiceMonth], tbl_kpi_monthly[Revenue])</f>
        <v>568101.31000000006</v>
      </c>
      <c r="C15">
        <f>_xlfn.XLOOKUP(A15, tbl_kpi_monthly[InvoiceMonth], tbl_kpi_monthly[Orders])</f>
        <v>987</v>
      </c>
      <c r="D15">
        <f>IF(tbl_calc_checks[[#This Row],[Orders]]=0, 0, tbl_calc_checks[[#This Row],[Revenue]]/tbl_calc_checks[[#This Row],[Orders]])</f>
        <v>575.58390070921996</v>
      </c>
      <c r="E15">
        <f>_xlfn.XLOOKUP(tbl_calc_checks[[#This Row],[InvoiceMonth]], tbl_kpi_monthly[InvoiceMonth], tbl_kpi_monthly[AOV])</f>
        <v>575.58390070921996</v>
      </c>
      <c r="F15">
        <f>tbl_calc_checks[[#This Row],[AOV_Recomputed]]-tbl_calc_checks[[#This Row],[AOV_Original]]</f>
        <v>0</v>
      </c>
      <c r="G15" s="9">
        <f ca="1">IFERROR((tbl_calc_checks[[#This Row],[Revenue]] / OFFSET(tbl_calc_checks[[#This Row],[Revenue]], -1, 0)) - 1, "")</f>
        <v>-0.35522098980670402</v>
      </c>
      <c r="H15" s="2">
        <f ca="1">IFERROR(tbl_calc_checks[[#This Row],[Revenue_MoM_Formula]] - _xlfn.XLOOKUP(tbl_calc_checks[[#This Row],[InvoiceMonth]], tbl_kpi_monthly[InvoiceMonth], tbl_kpi_monthly[Revenue_MoM_Growth]), "")</f>
        <v>0</v>
      </c>
    </row>
    <row r="16" spans="1:8">
      <c r="A16" s="8">
        <f>tbl_kpi_monthly[[#This Row],[InvoiceMonth]]</f>
        <v>40575</v>
      </c>
      <c r="B16">
        <f>_xlfn.XLOOKUP(A16, tbl_kpi_monthly[InvoiceMonth], tbl_kpi_monthly[Revenue])</f>
        <v>446084.92</v>
      </c>
      <c r="C16">
        <f>_xlfn.XLOOKUP(A16, tbl_kpi_monthly[InvoiceMonth], tbl_kpi_monthly[Orders])</f>
        <v>997</v>
      </c>
      <c r="D16">
        <f>IF(tbl_calc_checks[[#This Row],[Orders]]=0, 0, tbl_calc_checks[[#This Row],[Revenue]]/tbl_calc_checks[[#This Row],[Orders]])</f>
        <v>447.4272016048144</v>
      </c>
      <c r="E16">
        <f>_xlfn.XLOOKUP(tbl_calc_checks[[#This Row],[InvoiceMonth]], tbl_kpi_monthly[InvoiceMonth], tbl_kpi_monthly[AOV])</f>
        <v>447.4272016048144</v>
      </c>
      <c r="F16">
        <f>tbl_calc_checks[[#This Row],[AOV_Recomputed]]-tbl_calc_checks[[#This Row],[AOV_Original]]</f>
        <v>0</v>
      </c>
      <c r="G16" s="9">
        <f ca="1">IFERROR((tbl_calc_checks[[#This Row],[Revenue]] / OFFSET(tbl_calc_checks[[#This Row],[Revenue]], -1, 0)) - 1, "")</f>
        <v>-0.21477927942113006</v>
      </c>
      <c r="H16" s="2">
        <f ca="1">IFERROR(tbl_calc_checks[[#This Row],[Revenue_MoM_Formula]] - _xlfn.XLOOKUP(tbl_calc_checks[[#This Row],[InvoiceMonth]], tbl_kpi_monthly[InvoiceMonth], tbl_kpi_monthly[Revenue_MoM_Growth]), "")</f>
        <v>0</v>
      </c>
    </row>
    <row r="17" spans="1:8">
      <c r="A17" s="8">
        <f>tbl_kpi_monthly[[#This Row],[InvoiceMonth]]</f>
        <v>40603</v>
      </c>
      <c r="B17">
        <f>_xlfn.XLOOKUP(A17, tbl_kpi_monthly[InvoiceMonth], tbl_kpi_monthly[Revenue])</f>
        <v>594081.76</v>
      </c>
      <c r="C17">
        <f>_xlfn.XLOOKUP(A17, tbl_kpi_monthly[InvoiceMonth], tbl_kpi_monthly[Orders])</f>
        <v>1321</v>
      </c>
      <c r="D17">
        <f>IF(tbl_calc_checks[[#This Row],[Orders]]=0, 0, tbl_calc_checks[[#This Row],[Revenue]]/tbl_calc_checks[[#This Row],[Orders]])</f>
        <v>449.72124148372444</v>
      </c>
      <c r="E17">
        <f>_xlfn.XLOOKUP(tbl_calc_checks[[#This Row],[InvoiceMonth]], tbl_kpi_monthly[InvoiceMonth], tbl_kpi_monthly[AOV])</f>
        <v>449.72124148372444</v>
      </c>
      <c r="F17">
        <f>tbl_calc_checks[[#This Row],[AOV_Recomputed]]-tbl_calc_checks[[#This Row],[AOV_Original]]</f>
        <v>0</v>
      </c>
      <c r="G17" s="9">
        <f ca="1">IFERROR((tbl_calc_checks[[#This Row],[Revenue]] / OFFSET(tbl_calc_checks[[#This Row],[Revenue]], -1, 0)) - 1, "")</f>
        <v>0.33176830994421436</v>
      </c>
      <c r="H17" s="2">
        <f ca="1">IFERROR(tbl_calc_checks[[#This Row],[Revenue_MoM_Formula]] - _xlfn.XLOOKUP(tbl_calc_checks[[#This Row],[InvoiceMonth]], tbl_kpi_monthly[InvoiceMonth], tbl_kpi_monthly[Revenue_MoM_Growth]), "")</f>
        <v>0</v>
      </c>
    </row>
    <row r="18" spans="1:8">
      <c r="A18" s="8">
        <f>tbl_kpi_monthly[[#This Row],[InvoiceMonth]]</f>
        <v>40634</v>
      </c>
      <c r="B18">
        <f>_xlfn.XLOOKUP(A18, tbl_kpi_monthly[InvoiceMonth], tbl_kpi_monthly[Revenue])</f>
        <v>468374.33100000001</v>
      </c>
      <c r="C18">
        <f>_xlfn.XLOOKUP(A18, tbl_kpi_monthly[InvoiceMonth], tbl_kpi_monthly[Orders])</f>
        <v>1149</v>
      </c>
      <c r="D18">
        <f>IF(tbl_calc_checks[[#This Row],[Orders]]=0, 0, tbl_calc_checks[[#This Row],[Revenue]]/tbl_calc_checks[[#This Row],[Orders]])</f>
        <v>407.63649347258485</v>
      </c>
      <c r="E18">
        <f>_xlfn.XLOOKUP(tbl_calc_checks[[#This Row],[InvoiceMonth]], tbl_kpi_monthly[InvoiceMonth], tbl_kpi_monthly[AOV])</f>
        <v>407.63649347258485</v>
      </c>
      <c r="F18">
        <f>tbl_calc_checks[[#This Row],[AOV_Recomputed]]-tbl_calc_checks[[#This Row],[AOV_Original]]</f>
        <v>0</v>
      </c>
      <c r="G18" s="9">
        <f ca="1">IFERROR((tbl_calc_checks[[#This Row],[Revenue]] / OFFSET(tbl_calc_checks[[#This Row],[Revenue]], -1, 0)) - 1, "")</f>
        <v>-0.21159954313359153</v>
      </c>
      <c r="H18" s="2">
        <f ca="1">IFERROR(tbl_calc_checks[[#This Row],[Revenue_MoM_Formula]] - _xlfn.XLOOKUP(tbl_calc_checks[[#This Row],[InvoiceMonth]], tbl_kpi_monthly[InvoiceMonth], tbl_kpi_monthly[Revenue_MoM_Growth]), "")</f>
        <v>0</v>
      </c>
    </row>
    <row r="19" spans="1:8">
      <c r="A19" s="8">
        <f>tbl_kpi_monthly[[#This Row],[InvoiceMonth]]</f>
        <v>40664</v>
      </c>
      <c r="B19">
        <f>_xlfn.XLOOKUP(A19, tbl_kpi_monthly[InvoiceMonth], tbl_kpi_monthly[Revenue])</f>
        <v>677355.15</v>
      </c>
      <c r="C19">
        <f>_xlfn.XLOOKUP(A19, tbl_kpi_monthly[InvoiceMonth], tbl_kpi_monthly[Orders])</f>
        <v>1555</v>
      </c>
      <c r="D19">
        <f>IF(tbl_calc_checks[[#This Row],[Orders]]=0, 0, tbl_calc_checks[[#This Row],[Revenue]]/tbl_calc_checks[[#This Row],[Orders]])</f>
        <v>435.59816720257237</v>
      </c>
      <c r="E19">
        <f>_xlfn.XLOOKUP(tbl_calc_checks[[#This Row],[InvoiceMonth]], tbl_kpi_monthly[InvoiceMonth], tbl_kpi_monthly[AOV])</f>
        <v>435.59816720257237</v>
      </c>
      <c r="F19">
        <f>tbl_calc_checks[[#This Row],[AOV_Recomputed]]-tbl_calc_checks[[#This Row],[AOV_Original]]</f>
        <v>0</v>
      </c>
      <c r="G19" s="9">
        <f ca="1">IFERROR((tbl_calc_checks[[#This Row],[Revenue]] / OFFSET(tbl_calc_checks[[#This Row],[Revenue]], -1, 0)) - 1, "")</f>
        <v>0.44618333065737548</v>
      </c>
      <c r="H19" s="2">
        <f ca="1">IFERROR(tbl_calc_checks[[#This Row],[Revenue_MoM_Formula]] - _xlfn.XLOOKUP(tbl_calc_checks[[#This Row],[InvoiceMonth]], tbl_kpi_monthly[InvoiceMonth], tbl_kpi_monthly[Revenue_MoM_Growth]), "")</f>
        <v>0</v>
      </c>
    </row>
    <row r="20" spans="1:8">
      <c r="A20" s="8">
        <f>tbl_kpi_monthly[[#This Row],[InvoiceMonth]]</f>
        <v>40695</v>
      </c>
      <c r="B20">
        <f>_xlfn.XLOOKUP(A20, tbl_kpi_monthly[InvoiceMonth], tbl_kpi_monthly[Revenue])</f>
        <v>660046.05000000005</v>
      </c>
      <c r="C20">
        <f>_xlfn.XLOOKUP(A20, tbl_kpi_monthly[InvoiceMonth], tbl_kpi_monthly[Orders])</f>
        <v>1393</v>
      </c>
      <c r="D20">
        <f>IF(tbl_calc_checks[[#This Row],[Orders]]=0, 0, tbl_calc_checks[[#This Row],[Revenue]]/tbl_calc_checks[[#This Row],[Orders]])</f>
        <v>473.83061737257719</v>
      </c>
      <c r="E20">
        <f>_xlfn.XLOOKUP(tbl_calc_checks[[#This Row],[InvoiceMonth]], tbl_kpi_monthly[InvoiceMonth], tbl_kpi_monthly[AOV])</f>
        <v>473.83061737257719</v>
      </c>
      <c r="F20">
        <f>tbl_calc_checks[[#This Row],[AOV_Recomputed]]-tbl_calc_checks[[#This Row],[AOV_Original]]</f>
        <v>0</v>
      </c>
      <c r="G20" s="9">
        <f ca="1">IFERROR((tbl_calc_checks[[#This Row],[Revenue]] / OFFSET(tbl_calc_checks[[#This Row],[Revenue]], -1, 0)) - 1, "")</f>
        <v>-2.5553950538354964E-2</v>
      </c>
      <c r="H20" s="2">
        <f ca="1">IFERROR(tbl_calc_checks[[#This Row],[Revenue_MoM_Formula]] - _xlfn.XLOOKUP(tbl_calc_checks[[#This Row],[InvoiceMonth]], tbl_kpi_monthly[InvoiceMonth], tbl_kpi_monthly[Revenue_MoM_Growth]), "")</f>
        <v>0</v>
      </c>
    </row>
    <row r="21" spans="1:8">
      <c r="A21" s="8">
        <f>tbl_kpi_monthly[[#This Row],[InvoiceMonth]]</f>
        <v>40725</v>
      </c>
      <c r="B21">
        <f>_xlfn.XLOOKUP(A21, tbl_kpi_monthly[InvoiceMonth], tbl_kpi_monthly[Revenue])</f>
        <v>598962.90099999995</v>
      </c>
      <c r="C21">
        <f>_xlfn.XLOOKUP(A21, tbl_kpi_monthly[InvoiceMonth], tbl_kpi_monthly[Orders])</f>
        <v>1331</v>
      </c>
      <c r="D21">
        <f>IF(tbl_calc_checks[[#This Row],[Orders]]=0, 0, tbl_calc_checks[[#This Row],[Revenue]]/tbl_calc_checks[[#This Row],[Orders]])</f>
        <v>450.00969271224642</v>
      </c>
      <c r="E21">
        <f>_xlfn.XLOOKUP(tbl_calc_checks[[#This Row],[InvoiceMonth]], tbl_kpi_monthly[InvoiceMonth], tbl_kpi_monthly[AOV])</f>
        <v>450.00969271224642</v>
      </c>
      <c r="F21">
        <f>tbl_calc_checks[[#This Row],[AOV_Recomputed]]-tbl_calc_checks[[#This Row],[AOV_Original]]</f>
        <v>0</v>
      </c>
      <c r="G21" s="9">
        <f ca="1">IFERROR((tbl_calc_checks[[#This Row],[Revenue]] / OFFSET(tbl_calc_checks[[#This Row],[Revenue]], -1, 0)) - 1, "")</f>
        <v>-9.2543768726439768E-2</v>
      </c>
      <c r="H21" s="2">
        <f ca="1">IFERROR(tbl_calc_checks[[#This Row],[Revenue_MoM_Formula]] - _xlfn.XLOOKUP(tbl_calc_checks[[#This Row],[InvoiceMonth]], tbl_kpi_monthly[InvoiceMonth], tbl_kpi_monthly[Revenue_MoM_Growth]), "")</f>
        <v>0</v>
      </c>
    </row>
    <row r="22" spans="1:8">
      <c r="A22" s="8">
        <f>tbl_kpi_monthly[[#This Row],[InvoiceMonth]]</f>
        <v>40756</v>
      </c>
      <c r="B22">
        <f>_xlfn.XLOOKUP(A22, tbl_kpi_monthly[InvoiceMonth], tbl_kpi_monthly[Revenue])</f>
        <v>644051.04</v>
      </c>
      <c r="C22">
        <f>_xlfn.XLOOKUP(A22, tbl_kpi_monthly[InvoiceMonth], tbl_kpi_monthly[Orders])</f>
        <v>1280</v>
      </c>
      <c r="D22">
        <f>IF(tbl_calc_checks[[#This Row],[Orders]]=0, 0, tbl_calc_checks[[#This Row],[Revenue]]/tbl_calc_checks[[#This Row],[Orders]])</f>
        <v>503.16487500000005</v>
      </c>
      <c r="E22">
        <f>_xlfn.XLOOKUP(tbl_calc_checks[[#This Row],[InvoiceMonth]], tbl_kpi_monthly[InvoiceMonth], tbl_kpi_monthly[AOV])</f>
        <v>503.16487500000005</v>
      </c>
      <c r="F22">
        <f>tbl_calc_checks[[#This Row],[AOV_Recomputed]]-tbl_calc_checks[[#This Row],[AOV_Original]]</f>
        <v>0</v>
      </c>
      <c r="G22" s="9">
        <f ca="1">IFERROR((tbl_calc_checks[[#This Row],[Revenue]] / OFFSET(tbl_calc_checks[[#This Row],[Revenue]], -1, 0)) - 1, "")</f>
        <v>7.5277014527482589E-2</v>
      </c>
      <c r="H22" s="2">
        <f ca="1">IFERROR(tbl_calc_checks[[#This Row],[Revenue_MoM_Formula]] - _xlfn.XLOOKUP(tbl_calc_checks[[#This Row],[InvoiceMonth]], tbl_kpi_monthly[InvoiceMonth], tbl_kpi_monthly[Revenue_MoM_Growth]), "")</f>
        <v>0</v>
      </c>
    </row>
    <row r="23" spans="1:8">
      <c r="A23" s="8">
        <f>tbl_kpi_monthly[[#This Row],[InvoiceMonth]]</f>
        <v>40787</v>
      </c>
      <c r="B23">
        <f>_xlfn.XLOOKUP(A23, tbl_kpi_monthly[InvoiceMonth], tbl_kpi_monthly[Revenue])</f>
        <v>950690.20200000005</v>
      </c>
      <c r="C23">
        <f>_xlfn.XLOOKUP(A23, tbl_kpi_monthly[InvoiceMonth], tbl_kpi_monthly[Orders])</f>
        <v>1755</v>
      </c>
      <c r="D23">
        <f>IF(tbl_calc_checks[[#This Row],[Orders]]=0, 0, tbl_calc_checks[[#This Row],[Revenue]]/tbl_calc_checks[[#This Row],[Orders]])</f>
        <v>541.70381880341881</v>
      </c>
      <c r="E23">
        <f>_xlfn.XLOOKUP(tbl_calc_checks[[#This Row],[InvoiceMonth]], tbl_kpi_monthly[InvoiceMonth], tbl_kpi_monthly[AOV])</f>
        <v>541.70381880341881</v>
      </c>
      <c r="F23">
        <f>tbl_calc_checks[[#This Row],[AOV_Recomputed]]-tbl_calc_checks[[#This Row],[AOV_Original]]</f>
        <v>0</v>
      </c>
      <c r="G23" s="9">
        <f ca="1">IFERROR((tbl_calc_checks[[#This Row],[Revenue]] / OFFSET(tbl_calc_checks[[#This Row],[Revenue]], -1, 0)) - 1, "")</f>
        <v>0.47611003314271483</v>
      </c>
      <c r="H23" s="2">
        <f ca="1">IFERROR(tbl_calc_checks[[#This Row],[Revenue_MoM_Formula]] - _xlfn.XLOOKUP(tbl_calc_checks[[#This Row],[InvoiceMonth]], tbl_kpi_monthly[InvoiceMonth], tbl_kpi_monthly[Revenue_MoM_Growth]), "")</f>
        <v>0</v>
      </c>
    </row>
    <row r="24" spans="1:8">
      <c r="A24" s="8">
        <f>tbl_kpi_monthly[[#This Row],[InvoiceMonth]]</f>
        <v>40817</v>
      </c>
      <c r="B24">
        <f>_xlfn.XLOOKUP(A24, tbl_kpi_monthly[InvoiceMonth], tbl_kpi_monthly[Revenue])</f>
        <v>1035642.45</v>
      </c>
      <c r="C24">
        <f>_xlfn.XLOOKUP(A24, tbl_kpi_monthly[InvoiceMonth], tbl_kpi_monthly[Orders])</f>
        <v>1929</v>
      </c>
      <c r="D24">
        <f>IF(tbl_calc_checks[[#This Row],[Orders]]=0, 0, tbl_calc_checks[[#This Row],[Revenue]]/tbl_calc_checks[[#This Row],[Orders]])</f>
        <v>536.88048211508556</v>
      </c>
      <c r="E24">
        <f>_xlfn.XLOOKUP(tbl_calc_checks[[#This Row],[InvoiceMonth]], tbl_kpi_monthly[InvoiceMonth], tbl_kpi_monthly[AOV])</f>
        <v>536.88048211508556</v>
      </c>
      <c r="F24">
        <f>tbl_calc_checks[[#This Row],[AOV_Recomputed]]-tbl_calc_checks[[#This Row],[AOV_Original]]</f>
        <v>0</v>
      </c>
      <c r="G24" s="9">
        <f ca="1">IFERROR((tbl_calc_checks[[#This Row],[Revenue]] / OFFSET(tbl_calc_checks[[#This Row],[Revenue]], -1, 0)) - 1, "")</f>
        <v>8.9358497459301578E-2</v>
      </c>
      <c r="H24" s="2">
        <f ca="1">IFERROR(tbl_calc_checks[[#This Row],[Revenue_MoM_Formula]] - _xlfn.XLOOKUP(tbl_calc_checks[[#This Row],[InvoiceMonth]], tbl_kpi_monthly[InvoiceMonth], tbl_kpi_monthly[Revenue_MoM_Growth]), "")</f>
        <v>0</v>
      </c>
    </row>
    <row r="25" spans="1:8">
      <c r="A25" s="8">
        <f>tbl_kpi_monthly[[#This Row],[InvoiceMonth]]</f>
        <v>40848</v>
      </c>
      <c r="B25">
        <f>_xlfn.XLOOKUP(A25, tbl_kpi_monthly[InvoiceMonth], tbl_kpi_monthly[Revenue])</f>
        <v>1156205.6100000001</v>
      </c>
      <c r="C25">
        <f>_xlfn.XLOOKUP(A25, tbl_kpi_monthly[InvoiceMonth], tbl_kpi_monthly[Orders])</f>
        <v>2657</v>
      </c>
      <c r="D25">
        <f>IF(tbl_calc_checks[[#This Row],[Orders]]=0, 0, tbl_calc_checks[[#This Row],[Revenue]]/tbl_calc_checks[[#This Row],[Orders]])</f>
        <v>435.15453895370723</v>
      </c>
      <c r="E25">
        <f>_xlfn.XLOOKUP(tbl_calc_checks[[#This Row],[InvoiceMonth]], tbl_kpi_monthly[InvoiceMonth], tbl_kpi_monthly[AOV])</f>
        <v>435.15453895370723</v>
      </c>
      <c r="F25">
        <f>tbl_calc_checks[[#This Row],[AOV_Recomputed]]-tbl_calc_checks[[#This Row],[AOV_Original]]</f>
        <v>0</v>
      </c>
      <c r="G25" s="9">
        <f ca="1">IFERROR((tbl_calc_checks[[#This Row],[Revenue]] / OFFSET(tbl_calc_checks[[#This Row],[Revenue]], -1, 0)) - 1, "")</f>
        <v>0.11641388396159336</v>
      </c>
      <c r="H25" s="2">
        <f ca="1">IFERROR(tbl_calc_checks[[#This Row],[Revenue_MoM_Formula]] - _xlfn.XLOOKUP(tbl_calc_checks[[#This Row],[InvoiceMonth]], tbl_kpi_monthly[InvoiceMonth], tbl_kpi_monthly[Revenue_MoM_Growth]), "")</f>
        <v>0</v>
      </c>
    </row>
    <row r="26" spans="1:8">
      <c r="A26" s="8">
        <f>tbl_kpi_monthly[[#This Row],[InvoiceMonth]]</f>
        <v>40878</v>
      </c>
      <c r="B26">
        <f>_xlfn.XLOOKUP(A26, tbl_kpi_monthly[InvoiceMonth], tbl_kpi_monthly[Revenue])</f>
        <v>517208.44</v>
      </c>
      <c r="C26">
        <f>_xlfn.XLOOKUP(A26, tbl_kpi_monthly[InvoiceMonth], tbl_kpi_monthly[Orders])</f>
        <v>778</v>
      </c>
      <c r="D26">
        <f>IF(tbl_calc_checks[[#This Row],[Orders]]=0, 0, tbl_calc_checks[[#This Row],[Revenue]]/tbl_calc_checks[[#This Row],[Orders]])</f>
        <v>664.79233933161959</v>
      </c>
      <c r="E26">
        <f>_xlfn.XLOOKUP(tbl_calc_checks[[#This Row],[InvoiceMonth]], tbl_kpi_monthly[InvoiceMonth], tbl_kpi_monthly[AOV])</f>
        <v>664.79233933161959</v>
      </c>
      <c r="F26">
        <f>tbl_calc_checks[[#This Row],[AOV_Recomputed]]-tbl_calc_checks[[#This Row],[AOV_Original]]</f>
        <v>0</v>
      </c>
      <c r="G26" s="9">
        <f ca="1">IFERROR((tbl_calc_checks[[#This Row],[Revenue]] / OFFSET(tbl_calc_checks[[#This Row],[Revenue]], -1, 0)) - 1, "")</f>
        <v>-0.55266741873013403</v>
      </c>
      <c r="H26" s="2">
        <f ca="1">IFERROR(tbl_calc_checks[[#This Row],[Revenue_MoM_Formula]] - _xlfn.XLOOKUP(tbl_calc_checks[[#This Row],[InvoiceMonth]], tbl_kpi_monthly[InvoiceMonth], tbl_kpi_monthly[Revenue_MoM_Growth]), "")</f>
        <v>0</v>
      </c>
    </row>
    <row r="29" spans="1:8">
      <c r="A29" t="s">
        <v>60</v>
      </c>
      <c r="B29" s="8">
        <v>40179</v>
      </c>
    </row>
    <row r="30" spans="1:8">
      <c r="A30" t="s">
        <v>62</v>
      </c>
      <c r="B30">
        <f>_xlfn.XLOOKUP(B29, tbl_kpi_monthly[InvoiceMonth], tbl_kpi_monthly[Revenue])</f>
        <v>555802.67200000002</v>
      </c>
    </row>
    <row r="31" spans="1:8">
      <c r="A31" t="s">
        <v>61</v>
      </c>
      <c r="B31">
        <f>SUMIFS(tbl_kpi_country[Revenue], tbl_kpi_country[InvoiceMonth], B29)</f>
        <v>555802.6719999999</v>
      </c>
    </row>
    <row r="32" spans="1:8">
      <c r="A32" t="s">
        <v>63</v>
      </c>
      <c r="B32">
        <f>B30-B31</f>
        <v>0</v>
      </c>
    </row>
  </sheetData>
  <dataValidations count="1">
    <dataValidation type="list" allowBlank="1" showInputMessage="1" showErrorMessage="1" sqref="B29" xr:uid="{AB4380A7-9B11-4FCB-BB49-EB00CBB0D269}">
      <formula1>MonthList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3D77C-90D8-441B-898D-1826D73052D1}">
  <dimension ref="A1:XEH1048576"/>
  <sheetViews>
    <sheetView showGridLines="0" topLeftCell="A6" zoomScale="54" zoomScaleNormal="60" workbookViewId="0">
      <selection activeCell="A6" sqref="A6:XFD1048576"/>
    </sheetView>
  </sheetViews>
  <sheetFormatPr defaultColWidth="0" defaultRowHeight="14.4" zeroHeight="1"/>
  <cols>
    <col min="1" max="4" width="22.77734375" customWidth="1"/>
    <col min="5" max="8" width="18.77734375" customWidth="1"/>
    <col min="9" max="15" width="16.77734375" customWidth="1"/>
    <col min="16" max="16" width="8.88671875" customWidth="1"/>
    <col min="17" max="16361" width="8.88671875" hidden="1"/>
    <col min="16363" max="16383" width="8.88671875" hidden="1"/>
    <col min="16384" max="16384" width="53.6640625" customWidth="1"/>
  </cols>
  <sheetData>
    <row r="1" spans="1:15" ht="36.6" hidden="1">
      <c r="A1" s="22" t="s">
        <v>68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idden="1">
      <c r="B2" s="8"/>
    </row>
    <row r="3" spans="1:15" ht="25.8" hidden="1">
      <c r="A3" s="32" t="s">
        <v>69</v>
      </c>
      <c r="B3" s="33">
        <f>MAX(tbl_kpi_monthly[InvoiceMonth])</f>
        <v>40878</v>
      </c>
      <c r="C3" s="13"/>
      <c r="D3" s="13"/>
    </row>
    <row r="5" spans="1:15" ht="23.4" hidden="1" customHeight="1">
      <c r="A5" s="27" t="s">
        <v>1</v>
      </c>
      <c r="B5" s="28"/>
      <c r="C5" s="28"/>
      <c r="D5" s="24" t="s">
        <v>2</v>
      </c>
      <c r="E5" s="24"/>
      <c r="F5" s="24"/>
      <c r="G5" s="34"/>
      <c r="H5" s="27" t="s">
        <v>67</v>
      </c>
      <c r="I5" s="28"/>
      <c r="J5" s="28"/>
      <c r="K5" s="29"/>
      <c r="L5" s="27" t="s">
        <v>5</v>
      </c>
      <c r="M5" s="28"/>
      <c r="N5" s="28"/>
      <c r="O5" s="29"/>
    </row>
    <row r="6" spans="1:15" ht="14.4" customHeight="1">
      <c r="A6" s="14">
        <f>_xlfn.XLOOKUP($B$3, tbl_kpi_monthly[InvoiceMonth], tbl_kpi_monthly[Revenue])</f>
        <v>517208.44</v>
      </c>
      <c r="B6" s="23"/>
      <c r="C6" s="23"/>
      <c r="D6" s="35">
        <f>_xlfn.XLOOKUP($B$3, tbl_kpi_monthly[InvoiceMonth], tbl_kpi_monthly[Orders])</f>
        <v>778</v>
      </c>
      <c r="E6" s="35"/>
      <c r="F6" s="35"/>
      <c r="G6" s="25"/>
      <c r="H6" s="18">
        <f>_xlfn.XLOOKUP($B$3, tbl_kpi_monthly[InvoiceMonth], tbl_kpi_monthly[ActiveCustomers])</f>
        <v>615</v>
      </c>
      <c r="I6" s="26"/>
      <c r="J6" s="26"/>
      <c r="K6" s="19"/>
      <c r="L6" s="14">
        <f>_xlfn.XLOOKUP($B$3, tbl_kpi_monthly[InvoiceMonth], tbl_kpi_monthly[AOV])</f>
        <v>664.79233933161959</v>
      </c>
      <c r="M6" s="23"/>
      <c r="N6" s="23"/>
      <c r="O6" s="15"/>
    </row>
    <row r="7" spans="1:15" ht="15" customHeight="1">
      <c r="A7" s="14"/>
      <c r="B7" s="23"/>
      <c r="C7" s="23"/>
      <c r="D7" s="35"/>
      <c r="E7" s="35"/>
      <c r="F7" s="35"/>
      <c r="G7" s="25"/>
      <c r="H7" s="18"/>
      <c r="I7" s="26"/>
      <c r="J7" s="26"/>
      <c r="K7" s="19"/>
      <c r="L7" s="14"/>
      <c r="M7" s="23"/>
      <c r="N7" s="23"/>
      <c r="O7" s="15"/>
    </row>
    <row r="8" spans="1:15" ht="409.2" customHeight="1" thickBot="1">
      <c r="A8" s="16"/>
      <c r="B8" s="30"/>
      <c r="C8" s="30"/>
      <c r="D8" s="35"/>
      <c r="E8" s="35"/>
      <c r="F8" s="35"/>
      <c r="G8" s="25"/>
      <c r="H8" s="20"/>
      <c r="I8" s="31"/>
      <c r="J8" s="31"/>
      <c r="K8" s="21"/>
      <c r="L8" s="16"/>
      <c r="M8" s="30"/>
      <c r="N8" s="30"/>
      <c r="O8" s="17"/>
    </row>
    <row r="11" spans="1:15" hidden="1">
      <c r="G11" s="10"/>
    </row>
    <row r="12" spans="1:15" hidden="1">
      <c r="G12" s="11"/>
    </row>
    <row r="13" spans="1:15" hidden="1">
      <c r="G13" s="12"/>
    </row>
    <row r="14" spans="1:15" hidden="1">
      <c r="G14" s="10"/>
    </row>
    <row r="1048576" ht="349.8" customHeight="1"/>
  </sheetData>
  <mergeCells count="8">
    <mergeCell ref="L6:O8"/>
    <mergeCell ref="A5:C5"/>
    <mergeCell ref="A6:C8"/>
    <mergeCell ref="L5:O5"/>
    <mergeCell ref="H5:K5"/>
    <mergeCell ref="H6:K8"/>
    <mergeCell ref="D5:F5"/>
    <mergeCell ref="A1:O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D8C8-38BC-437C-8891-0CE9EEB3CED7}">
  <dimension ref="A1:P42"/>
  <sheetViews>
    <sheetView showGridLines="0" tabSelected="1" zoomScale="78" workbookViewId="0">
      <selection activeCell="K27" sqref="K27"/>
    </sheetView>
  </sheetViews>
  <sheetFormatPr defaultColWidth="0" defaultRowHeight="14.4" zeroHeight="1"/>
  <cols>
    <col min="1" max="1" width="8.88671875" customWidth="1"/>
    <col min="2" max="2" width="9.44140625" bestFit="1" customWidth="1"/>
    <col min="3" max="3" width="12.77734375" bestFit="1" customWidth="1"/>
    <col min="4" max="17" width="8.88671875" customWidth="1"/>
    <col min="18" max="16384" width="8.88671875" hidden="1"/>
  </cols>
  <sheetData>
    <row r="1" spans="1:16" ht="33.6">
      <c r="A1" s="51" t="s">
        <v>68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/>
    <row r="3" spans="1:16" ht="21">
      <c r="A3" s="53" t="s">
        <v>69</v>
      </c>
      <c r="B3" s="53"/>
      <c r="C3" s="52">
        <f>MAX(tbl_kpi_monthly[InvoiceMonth])</f>
        <v>40878</v>
      </c>
    </row>
    <row r="4" spans="1:16" ht="15" thickBot="1"/>
    <row r="5" spans="1:16" ht="23.4">
      <c r="A5" s="36" t="s">
        <v>1</v>
      </c>
      <c r="B5" s="37"/>
      <c r="C5" s="37"/>
      <c r="D5" s="38"/>
      <c r="E5" s="36" t="s">
        <v>2</v>
      </c>
      <c r="F5" s="37"/>
      <c r="G5" s="37"/>
      <c r="H5" s="38"/>
      <c r="I5" s="36" t="s">
        <v>67</v>
      </c>
      <c r="J5" s="37"/>
      <c r="K5" s="37"/>
      <c r="L5" s="38"/>
      <c r="M5" s="36" t="s">
        <v>5</v>
      </c>
      <c r="N5" s="37"/>
      <c r="O5" s="37"/>
      <c r="P5" s="38"/>
    </row>
    <row r="6" spans="1:16">
      <c r="A6" s="45">
        <f>_xlfn.XLOOKUP($C$3, tbl_kpi_monthly[InvoiceMonth], tbl_kpi_monthly[Revenue])</f>
        <v>517208.44</v>
      </c>
      <c r="B6" s="46"/>
      <c r="C6" s="46"/>
      <c r="D6" s="47"/>
      <c r="E6" s="39">
        <f>_xlfn.XLOOKUP($C$3, tbl_kpi_monthly[InvoiceMonth], tbl_kpi_monthly[Orders])</f>
        <v>778</v>
      </c>
      <c r="F6" s="40"/>
      <c r="G6" s="40"/>
      <c r="H6" s="41"/>
      <c r="I6" s="39">
        <f>_xlfn.XLOOKUP($C$3, tbl_kpi_monthly[InvoiceMonth], tbl_kpi_monthly[ActiveCustomers])</f>
        <v>615</v>
      </c>
      <c r="J6" s="40"/>
      <c r="K6" s="40"/>
      <c r="L6" s="41"/>
      <c r="M6" s="45">
        <f>_xlfn.XLOOKUP($C$3, tbl_kpi_monthly[InvoiceMonth], tbl_kpi_monthly[AOV])</f>
        <v>664.79233933161959</v>
      </c>
      <c r="N6" s="46"/>
      <c r="O6" s="46"/>
      <c r="P6" s="47"/>
    </row>
    <row r="7" spans="1:16">
      <c r="A7" s="45"/>
      <c r="B7" s="46"/>
      <c r="C7" s="46"/>
      <c r="D7" s="47"/>
      <c r="E7" s="39"/>
      <c r="F7" s="40"/>
      <c r="G7" s="40"/>
      <c r="H7" s="41"/>
      <c r="I7" s="39"/>
      <c r="J7" s="40"/>
      <c r="K7" s="40"/>
      <c r="L7" s="41"/>
      <c r="M7" s="45"/>
      <c r="N7" s="46"/>
      <c r="O7" s="46"/>
      <c r="P7" s="47"/>
    </row>
    <row r="8" spans="1:16" ht="15" thickBot="1">
      <c r="A8" s="48"/>
      <c r="B8" s="49"/>
      <c r="C8" s="49"/>
      <c r="D8" s="50"/>
      <c r="E8" s="42"/>
      <c r="F8" s="43"/>
      <c r="G8" s="43"/>
      <c r="H8" s="44"/>
      <c r="I8" s="42"/>
      <c r="J8" s="43"/>
      <c r="K8" s="43"/>
      <c r="L8" s="44"/>
      <c r="M8" s="48"/>
      <c r="N8" s="49"/>
      <c r="O8" s="49"/>
      <c r="P8" s="50"/>
    </row>
    <row r="9" spans="1:16"/>
    <row r="10" spans="1:16"/>
    <row r="11" spans="1:16"/>
    <row r="12" spans="1:16"/>
    <row r="13" spans="1:16"/>
    <row r="14" spans="1:16"/>
    <row r="15" spans="1:16"/>
    <row r="16" spans="1: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</sheetData>
  <mergeCells count="10">
    <mergeCell ref="A1:P1"/>
    <mergeCell ref="A3:B3"/>
    <mergeCell ref="A5:D5"/>
    <mergeCell ref="A6:D8"/>
    <mergeCell ref="E5:H5"/>
    <mergeCell ref="E6:H8"/>
    <mergeCell ref="I5:L5"/>
    <mergeCell ref="I6:L8"/>
    <mergeCell ref="M5:P5"/>
    <mergeCell ref="M6:P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0B849B-38CD-4F16-8A1E-21B27CD61D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kpis_monthly_country</vt:lpstr>
      <vt:lpstr>kpis_monthly</vt:lpstr>
      <vt:lpstr>Pivots</vt:lpstr>
      <vt:lpstr>Helper</vt:lpstr>
      <vt:lpstr>Calc_Checks</vt:lpstr>
      <vt:lpstr>Dashboard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Gosawi, Siddharth</cp:lastModifiedBy>
  <dcterms:created xsi:type="dcterms:W3CDTF">2015-06-05T18:17:20Z</dcterms:created>
  <dcterms:modified xsi:type="dcterms:W3CDTF">2025-12-25T06:18:00Z</dcterms:modified>
</cp:coreProperties>
</file>